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agina-que-vende\Pagina que Vende\"/>
    </mc:Choice>
  </mc:AlternateContent>
  <xr:revisionPtr revIDLastSave="0" documentId="13_ncr:1_{C73B339A-B53A-4C73-9809-FA73558FE4E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alendario 30 dias" sheetId="1" r:id="rId1"/>
    <sheet name="Resumo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2" l="1"/>
  <c r="B13" i="2"/>
  <c r="B8" i="2"/>
  <c r="B7" i="2"/>
  <c r="B6" i="2"/>
  <c r="B5" i="2"/>
  <c r="B15" i="2" l="1"/>
  <c r="B9" i="2"/>
</calcChain>
</file>

<file path=xl/sharedStrings.xml><?xml version="1.0" encoding="utf-8"?>
<sst xmlns="http://schemas.openxmlformats.org/spreadsheetml/2006/main" count="335" uniqueCount="201">
  <si>
    <t>CALENDARIO DE POSTAGENS - 30 DIAS  |  Negocios e Empreendedorismo  |  Instagram + outras plataformas</t>
  </si>
  <si>
    <t>Dia</t>
  </si>
  <si>
    <t>Data</t>
  </si>
  <si>
    <t>Dia da semana</t>
  </si>
  <si>
    <t>Plataforma</t>
  </si>
  <si>
    <t>Pilar de conteudo</t>
  </si>
  <si>
    <t>Formato</t>
  </si>
  <si>
    <t>Tema / Titulo</t>
  </si>
  <si>
    <t>Ideia da legenda</t>
  </si>
  <si>
    <t>CTA (chamada)</t>
  </si>
  <si>
    <t>Hashtags</t>
  </si>
  <si>
    <t>Prompt (IA)</t>
  </si>
  <si>
    <t>Postado?</t>
  </si>
  <si>
    <t>Observacoes</t>
  </si>
  <si>
    <t>terca-feira</t>
  </si>
  <si>
    <t>Instagram</t>
  </si>
  <si>
    <t>Educativo</t>
  </si>
  <si>
    <t>Carrossel</t>
  </si>
  <si>
    <t>Os 3 erros que fazem todo negocio perder dinheiro no comeco</t>
  </si>
  <si>
    <t>Liste os erros mais comuns de quem comeca e como evitar cada um</t>
  </si>
  <si>
    <t>Salve este post para nao esquecer</t>
  </si>
  <si>
    <t>#empreendedorismo #negocios #gestao</t>
  </si>
  <si>
    <t>Voce e um especialista em conteudo para Instagram no nicho de negocios e empreendedorismo, falando com donos de pequenos negocios e empreendedores iniciantes. Crie um CARROSSEL sobre o tema "Os 3 erros que fazem todo negocio perder dinheiro no comeco". Entregue de 6 a 8 slides: slide 1 com gancho forte que pare a rolagem, slides do meio com 1 ideia pratica e exemplo real cada, e slide final com o CTA. Pilar de conteudo: Educativo. Use linguagem simples, proxima e profissional, sem jargao. Finalize com o CTA: "Salve este post para nao esquecer". Ao final, gere uma legenda pronta e inclua as hashtags: #empreendedorismo #negocios #gestao.</t>
  </si>
  <si>
    <t>Nao</t>
  </si>
  <si>
    <t>quarta-feira</t>
  </si>
  <si>
    <t>Reels</t>
  </si>
  <si>
    <t>Como calcular o preco do seu produto sem prejuizo</t>
  </si>
  <si>
    <t>Mostre a formula simples: custo + margem + impostos</t>
  </si>
  <si>
    <t>Comenta PRECO que te mando a planilha</t>
  </si>
  <si>
    <t>#precificacao #pequenosnegocios #empreender</t>
  </si>
  <si>
    <t>Voce e um especialista em conteudo para Instagram no nicho de negocios e empreendedorismo, falando com donos de pequenos negocios e empreendedores iniciantes. Crie um ROTEIRO DE REELS de 30 a 45 segundos sobre "Como calcular o preco do seu produto sem prejuizo". Comece com um gancho de 3 segundos, divida em cenas e falas curtas com exemplos praticos e termine com o CTA. Sugira tambem o texto na tela. Pilar de conteudo: Educativo. Use linguagem simples, proxima e profissional, sem jargao. Finalize com o CTA: "Comenta PRECO que te mando a planilha". Ao final, gere uma legenda pronta e inclua as hashtags: #precificacao #pequenosnegocios #empreender.</t>
  </si>
  <si>
    <t>quinta-feira</t>
  </si>
  <si>
    <t>Engajamento</t>
  </si>
  <si>
    <t>Stories enquete</t>
  </si>
  <si>
    <t>Voce sabe quanto custa pra produzir o que voce vende?</t>
  </si>
  <si>
    <t>Faca uma enquete Sim/Nao e gere conversa</t>
  </si>
  <si>
    <t>Responde ai nos stories</t>
  </si>
  <si>
    <t>#empreendedorismo #gestao</t>
  </si>
  <si>
    <t>Voce e um especialista em conteudo para Instagram no nicho de negocios e empreendedorismo, falando com donos de pequenos negocios e empreendedores iniciantes. Crie uma sequencia de 3 a 5 STORIES sobre "Voce sabe quanto custa pra produzir o que voce vende?", usando o recurso interativo do formato (enquete, quiz ou caixa de perguntas) e ensinando algo na tela final. Pilar de conteudo: Engajamento. Use linguagem simples, proxima e profissional, sem jargao. Finalize com o CTA: "Responde ai nos stories". Ao final, gere uma legenda pronta e inclua as hashtags: #empreendedorismo #gestao.</t>
  </si>
  <si>
    <t>sexta-feira</t>
  </si>
  <si>
    <t>5 indicadores que todo dono de negocio precisa acompanhar</t>
  </si>
  <si>
    <t>Explique faturamento, lucro, ticket medio, CAC e fluxo de caixa</t>
  </si>
  <si>
    <t>Qual desses voce acompanha? Comenta</t>
  </si>
  <si>
    <t>#financas #gestaoempresarial #negocios</t>
  </si>
  <si>
    <t>Voce e um especialista em conteudo para Instagram no nicho de negocios e empreendedorismo, falando com donos de pequenos negocios e empreendedores iniciantes. Crie um CARROSSEL sobre o tema "5 indicadores que todo dono de negocio precisa acompanhar". Entregue de 6 a 8 slides: slide 1 com gancho forte que pare a rolagem, slides do meio com 1 ideia pratica e exemplo real cada, e slide final com o CTA. Pilar de conteudo: Educativo. Use linguagem simples, proxima e profissional, sem jargao. Finalize com o CTA: "Qual desses voce acompanha? Comenta". Ao final, gere uma legenda pronta e inclua as hashtags: #financas #gestaoempresarial #negocios.</t>
  </si>
  <si>
    <t>sabado</t>
  </si>
  <si>
    <t>O que e fluxo de caixa e por que ele te salva</t>
  </si>
  <si>
    <t>Explique de forma simples com exemplo do dia a dia</t>
  </si>
  <si>
    <t>Salva pra aplicar hoje</t>
  </si>
  <si>
    <t>#fluxodecaixa #financas #empreender</t>
  </si>
  <si>
    <t>Voce e um especialista em conteudo para Instagram no nicho de negocios e empreendedorismo, falando com donos de pequenos negocios e empreendedores iniciantes. Crie um ROTEIRO DE REELS de 30 a 45 segundos sobre "O que e fluxo de caixa e por que ele te salva". Comece com um gancho de 3 segundos, divida em cenas e falas curtas com exemplos praticos e termine com o CTA. Sugira tambem o texto na tela. Pilar de conteudo: Educativo. Use linguagem simples, proxima e profissional, sem jargao. Finalize com o CTA: "Salva pra aplicar hoje". Ao final, gere uma legenda pronta e inclua as hashtags: #fluxodecaixa #financas #empreender.</t>
  </si>
  <si>
    <t>domingo</t>
  </si>
  <si>
    <t>Inspiracao</t>
  </si>
  <si>
    <t>Por que a maioria desiste no 1o ano e como nao ser parte disso</t>
  </si>
  <si>
    <t>Conte uma virada de chave e mentalidade de longo prazo</t>
  </si>
  <si>
    <t>Marca alguem que precisa ouvir isso</t>
  </si>
  <si>
    <t>#mentalidade #empreendedorismo #foco</t>
  </si>
  <si>
    <t>Voce e um especialista em conteudo para Instagram no nicho de negocios e empreendedorismo, falando com donos de pequenos negocios e empreendedores iniciantes. Crie um ROTEIRO DE REELS de 30 a 45 segundos sobre "Por que a maioria desiste no 1o ano e como nao ser parte disso". Comece com um gancho de 3 segundos, divida em cenas e falas curtas com exemplos praticos e termine com o CTA. Sugira tambem o texto na tela. Pilar de conteudo: Inspiracao. Use linguagem simples, proxima e profissional, sem jargao. Finalize com o CTA: "Marca alguem que precisa ouvir isso". Ao final, gere uma legenda pronta e inclua as hashtags: #mentalidade #empreendedorismo #foco.</t>
  </si>
  <si>
    <t>segunda-feira</t>
  </si>
  <si>
    <t>Vendas</t>
  </si>
  <si>
    <t>Como meu metodo ajuda voce a organizar as financas do negocio</t>
  </si>
  <si>
    <t>Apresente a transformacao e prova social</t>
  </si>
  <si>
    <t>Chama no direct pra saber mais</t>
  </si>
  <si>
    <t>#consultoria #negocios #resultado</t>
  </si>
  <si>
    <t>Voce e um especialista em conteudo para Instagram no nicho de negocios e empreendedorismo, falando com donos de pequenos negocios e empreendedores iniciantes. Crie um CARROSSEL sobre o tema "Como meu metodo ajuda voce a organizar as financas do negocio". Entregue de 6 a 8 slides: slide 1 com gancho forte que pare a rolagem, slides do meio com 1 ideia pratica e exemplo real cada, e slide final com o CTA. Pilar de conteudo: Vendas. Use linguagem simples, proxima e profissional, sem jargao. Finalize com o CTA: "Chama no direct pra saber mais". Ao final, gere uma legenda pronta e inclua as hashtags: #consultoria #negocios #resultado.</t>
  </si>
  <si>
    <t>Pro-labore x lucro: voce esta se pagando errado?</t>
  </si>
  <si>
    <t>Diferencie os conceitos e mostre como separar</t>
  </si>
  <si>
    <t>Salve e revise sua retirada</t>
  </si>
  <si>
    <t>#prolabore #financas #empreendedor</t>
  </si>
  <si>
    <t>Voce e um especialista em conteudo para Instagram no nicho de negocios e empreendedorismo, falando com donos de pequenos negocios e empreendedores iniciantes. Crie um CARROSSEL sobre o tema "Pro-labore x lucro: voce esta se pagando errado?". Entregue de 6 a 8 slides: slide 1 com gancho forte que pare a rolagem, slides do meio com 1 ideia pratica e exemplo real cada, e slide final com o CTA. Pilar de conteudo: Educativo. Use linguagem simples, proxima e profissional, sem jargao. Finalize com o CTA: "Salve e revise sua retirada". Ao final, gere uma legenda pronta e inclua as hashtags: #prolabore #financas #empreendedor.</t>
  </si>
  <si>
    <t>3 ferramentas gratuitas pra gerir seu negocio</t>
  </si>
  <si>
    <t>Mostre apps de gestao, financas e agenda</t>
  </si>
  <si>
    <t>Comenta qual voce ja usa</t>
  </si>
  <si>
    <t>#ferramentas #produtividade #negocios</t>
  </si>
  <si>
    <t>Voce e um especialista em conteudo para Instagram no nicho de negocios e empreendedorismo, falando com donos de pequenos negocios e empreendedores iniciantes. Crie um ROTEIRO DE REELS de 30 a 45 segundos sobre "3 ferramentas gratuitas pra gerir seu negocio". Comece com um gancho de 3 segundos, divida em cenas e falas curtas com exemplos praticos e termine com o CTA. Sugira tambem o texto na tela. Pilar de conteudo: Educativo. Use linguagem simples, proxima e profissional, sem jargao. Finalize com o CTA: "Comenta qual voce ja usa". Ao final, gere uma legenda pronta e inclua as hashtags: #ferramentas #produtividade #negocios.</t>
  </si>
  <si>
    <t>Stories caixa de pergunta</t>
  </si>
  <si>
    <t>Qual sua maior dificuldade no negocio hoje?</t>
  </si>
  <si>
    <t>Abra caixa de perguntas e responda as principais</t>
  </si>
  <si>
    <t>Manda sua duvida</t>
  </si>
  <si>
    <t>#empreendedorismo #duvidas</t>
  </si>
  <si>
    <t>Voce e um especialista em conteudo para Instagram no nicho de negocios e empreendedorismo, falando com donos de pequenos negocios e empreendedores iniciantes. Crie uma sequencia de 3 a 5 STORIES sobre "Qual sua maior dificuldade no negocio hoje?", usando o recurso interativo do formato (enquete, quiz ou caixa de perguntas) e ensinando algo na tela final. Pilar de conteudo: Engajamento. Use linguagem simples, proxima e profissional, sem jargao. Finalize com o CTA: "Manda sua duvida". Ao final, gere uma legenda pronta e inclua as hashtags: #empreendedorismo #duvidas.</t>
  </si>
  <si>
    <t>Como separar as contas pessoais das contas da empresa</t>
  </si>
  <si>
    <t>Passo a passo pratico pra organizar</t>
  </si>
  <si>
    <t>Salva esse guia</t>
  </si>
  <si>
    <t>#financas #gestao #mei</t>
  </si>
  <si>
    <t>Voce e um especialista em conteudo para Instagram no nicho de negocios e empreendedorismo, falando com donos de pequenos negocios e empreendedores iniciantes. Crie um CARROSSEL sobre o tema "Como separar as contas pessoais das contas da empresa". Entregue de 6 a 8 slides: slide 1 com gancho forte que pare a rolagem, slides do meio com 1 ideia pratica e exemplo real cada, e slide final com o CTA. Pilar de conteudo: Educativo. Use linguagem simples, proxima e profissional, sem jargao. Finalize com o CTA: "Salva esse guia". Ao final, gere uma legenda pronta e inclua as hashtags: #financas #gestao #mei.</t>
  </si>
  <si>
    <t>O erro de margem que quebra pequenos negocios</t>
  </si>
  <si>
    <t>Explique margem real vs margem que parece lucro</t>
  </si>
  <si>
    <t>Comenta MARGEM</t>
  </si>
  <si>
    <t>#precificacao #lucro #negocios</t>
  </si>
  <si>
    <t>Voce e um especialista em conteudo para Instagram no nicho de negocios e empreendedorismo, falando com donos de pequenos negocios e empreendedores iniciantes. Crie um ROTEIRO DE REELS de 30 a 45 segundos sobre "O erro de margem que quebra pequenos negocios". Comece com um gancho de 3 segundos, divida em cenas e falas curtas com exemplos praticos e termine com o CTA. Sugira tambem o texto na tela. Pilar de conteudo: Educativo. Use linguagem simples, proxima e profissional, sem jargao. Finalize com o CTA: "Comenta MARGEM". Ao final, gere uma legenda pronta e inclua as hashtags: #precificacao #lucro #negocios.</t>
  </si>
  <si>
    <t>Foto + texto</t>
  </si>
  <si>
    <t>A rotina que mudou meus resultados</t>
  </si>
  <si>
    <t>Compartilhe um habito ou processo que destravou crescimento</t>
  </si>
  <si>
    <t>Qual habito voce vai comecar?</t>
  </si>
  <si>
    <t>#rotina #produtividade #empreender</t>
  </si>
  <si>
    <t>Voce e um especialista em conteudo para Instagram no nicho de negocios e empreendedorismo, falando com donos de pequenos negocios e empreendedores iniciantes. Crie um POST de imagem unica mais legenda sobre "A rotina que mudou meus resultados", com uma frase de impacto para a arte e uma legenda que conte uma historia ou reflexao. Pilar de conteudo: Inspiracao. Use linguagem simples, proxima e profissional, sem jargao. Finalize com o CTA: "Qual habito voce vai comecar?". Ao final, gere uma legenda pronta e inclua as hashtags: #rotina #produtividade #empreender.</t>
  </si>
  <si>
    <t>Planejamento financeiro: por onde comecar do zero</t>
  </si>
  <si>
    <t>Mostre os 4 primeiros passos</t>
  </si>
  <si>
    <t>Salve pra comecar hoje</t>
  </si>
  <si>
    <t>#planejamento #financas #negocios</t>
  </si>
  <si>
    <t>Voce e um especialista em conteudo para Instagram no nicho de negocios e empreendedorismo, falando com donos de pequenos negocios e empreendedores iniciantes. Crie um CARROSSEL sobre o tema "Planejamento financeiro: por onde comecar do zero". Entregue de 6 a 8 slides: slide 1 com gancho forte que pare a rolagem, slides do meio com 1 ideia pratica e exemplo real cada, e slide final com o CTA. Pilar de conteudo: Educativo. Use linguagem simples, proxima e profissional, sem jargao. Finalize com o CTA: "Salve pra comecar hoje". Ao final, gere uma legenda pronta e inclua as hashtags: #planejamento #financas #negocios.</t>
  </si>
  <si>
    <t>Ticket medio: o numero que mais cresce seu faturamento</t>
  </si>
  <si>
    <t>Explique como aumentar sem precisar de mais clientes</t>
  </si>
  <si>
    <t>Comenta TICKET</t>
  </si>
  <si>
    <t>#vendas #faturamento #negocios</t>
  </si>
  <si>
    <t>Voce e um especialista em conteudo para Instagram no nicho de negocios e empreendedorismo, falando com donos de pequenos negocios e empreendedores iniciantes. Crie um ROTEIRO DE REELS de 30 a 45 segundos sobre "Ticket medio: o numero que mais cresce seu faturamento". Comece com um gancho de 3 segundos, divida em cenas e falas curtas com exemplos praticos e termine com o CTA. Sugira tambem o texto na tela. Pilar de conteudo: Educativo. Use linguagem simples, proxima e profissional, sem jargao. Finalize com o CTA: "Comenta TICKET". Ao final, gere uma legenda pronta e inclua as hashtags: #vendas #faturamento #negocios.</t>
  </si>
  <si>
    <t>Stories quiz</t>
  </si>
  <si>
    <t>Verdadeiro ou falso: faturamento alto e igual a lucro alto</t>
  </si>
  <si>
    <t>Faca um quiz e ensine na resposta</t>
  </si>
  <si>
    <t>Arrasta e responde</t>
  </si>
  <si>
    <t>#financas #mitos</t>
  </si>
  <si>
    <t>Voce e um especialista em conteudo para Instagram no nicho de negocios e empreendedorismo, falando com donos de pequenos negocios e empreendedores iniciantes. Crie uma sequencia de 3 a 5 STORIES sobre "Verdadeiro ou falso: faturamento alto e igual a lucro alto", usando o recurso interativo do formato (enquete, quiz ou caixa de perguntas) e ensinando algo na tela final. Pilar de conteudo: Engajamento. Use linguagem simples, proxima e profissional, sem jargao. Finalize com o CTA: "Arrasta e responde". Ao final, gere uma legenda pronta e inclua as hashtags: #financas #mitos.</t>
  </si>
  <si>
    <t>Como precificar servicos e nao so produtos</t>
  </si>
  <si>
    <t>Mostre como valorizar seu tempo e expertise</t>
  </si>
  <si>
    <t>Salva pra cobrar o justo</t>
  </si>
  <si>
    <t>#servicos #precificacao #empreender</t>
  </si>
  <si>
    <t>Voce e um especialista em conteudo para Instagram no nicho de negocios e empreendedorismo, falando com donos de pequenos negocios e empreendedores iniciantes. Crie um CARROSSEL sobre o tema "Como precificar servicos e nao so produtos". Entregue de 6 a 8 slides: slide 1 com gancho forte que pare a rolagem, slides do meio com 1 ideia pratica e exemplo real cada, e slide final com o CTA. Pilar de conteudo: Educativo. Use linguagem simples, proxima e profissional, sem jargao. Finalize com o CTA: "Salva pra cobrar o justo". Ao final, gere uma legenda pronta e inclua as hashtags: #servicos #precificacao #empreender.</t>
  </si>
  <si>
    <t>Antes e depois de quem organizou as financas</t>
  </si>
  <si>
    <t>Mostre resultado ou depoimento e ofereca ajuda</t>
  </si>
  <si>
    <t>Quer esse resultado? Chama no direct</t>
  </si>
  <si>
    <t>#resultado #depoimento #consultoria</t>
  </si>
  <si>
    <t>Voce e um especialista em conteudo para Instagram no nicho de negocios e empreendedorismo, falando com donos de pequenos negocios e empreendedores iniciantes. Crie um ROTEIRO DE REELS de 30 a 45 segundos sobre "Antes e depois de quem organizou as financas". Comece com um gancho de 3 segundos, divida em cenas e falas curtas com exemplos praticos e termine com o CTA. Sugira tambem o texto na tela. Pilar de conteudo: Vendas. Use linguagem simples, proxima e profissional, sem jargao. Finalize com o CTA: "Quer esse resultado? Chama no direct". Ao final, gere uma legenda pronta e inclua as hashtags: #resultado #depoimento #consultoria.</t>
  </si>
  <si>
    <t>Reserva de emergencia do negocio: quanto guardar</t>
  </si>
  <si>
    <t>Explique a regra pratica e como montar</t>
  </si>
  <si>
    <t>Salva e comece a guardar</t>
  </si>
  <si>
    <t>#reserva #financas #gestao</t>
  </si>
  <si>
    <t>Voce e um especialista em conteudo para Instagram no nicho de negocios e empreendedorismo, falando com donos de pequenos negocios e empreendedores iniciantes. Crie um CARROSSEL sobre o tema "Reserva de emergencia do negocio: quanto guardar". Entregue de 6 a 8 slides: slide 1 com gancho forte que pare a rolagem, slides do meio com 1 ideia pratica e exemplo real cada, e slide final com o CTA. Pilar de conteudo: Educativo. Use linguagem simples, proxima e profissional, sem jargao. Finalize com o CTA: "Salva e comece a guardar". Ao final, gere uma legenda pronta e inclua as hashtags: #reserva #financas #gestao.</t>
  </si>
  <si>
    <t>3 sinais de que esta na hora de aumentar seus precos</t>
  </si>
  <si>
    <t>Liste os gatilhos com exemplos</t>
  </si>
  <si>
    <t>Comenta PRECO</t>
  </si>
  <si>
    <t>#precificacao #negocios #lucro</t>
  </si>
  <si>
    <t>Voce e um especialista em conteudo para Instagram no nicho de negocios e empreendedorismo, falando com donos de pequenos negocios e empreendedores iniciantes. Crie um ROTEIRO DE REELS de 30 a 45 segundos sobre "3 sinais de que esta na hora de aumentar seus precos". Comece com um gancho de 3 segundos, divida em cenas e falas curtas com exemplos praticos e termine com o CTA. Sugira tambem o texto na tela. Pilar de conteudo: Educativo. Use linguagem simples, proxima e profissional, sem jargao. Finalize com o CTA: "Comenta PRECO". Ao final, gere uma legenda pronta e inclua as hashtags: #precificacao #negocios #lucro.</t>
  </si>
  <si>
    <t>O que eu faria diferente se comecasse hoje</t>
  </si>
  <si>
    <t>Compartilhe aprendizados sinceros</t>
  </si>
  <si>
    <t>Comenta o que voce faria</t>
  </si>
  <si>
    <t>#empreendedorismo #aprendizado</t>
  </si>
  <si>
    <t>Voce e um especialista em conteudo para Instagram no nicho de negocios e empreendedorismo, falando com donos de pequenos negocios e empreendedores iniciantes. Crie um POST de imagem unica mais legenda sobre "O que eu faria diferente se comecasse hoje", com uma frase de impacto para a arte e uma legenda que conte uma historia ou reflexao. Pilar de conteudo: Inspiracao. Use linguagem simples, proxima e profissional, sem jargao. Finalize com o CTA: "Comenta o que voce faria". Ao final, gere uma legenda pronta e inclua as hashtags: #empreendedorismo #aprendizado.</t>
  </si>
  <si>
    <t>Como ler um DRE simples do seu negocio</t>
  </si>
  <si>
    <t>Explique receita, custos, despesas e lucro</t>
  </si>
  <si>
    <t>Salva esse mini guia</t>
  </si>
  <si>
    <t>#dre #financas #gestao</t>
  </si>
  <si>
    <t>Voce e um especialista em conteudo para Instagram no nicho de negocios e empreendedorismo, falando com donos de pequenos negocios e empreendedores iniciantes. Crie um CARROSSEL sobre o tema "Como ler um DRE simples do seu negocio". Entregue de 6 a 8 slides: slide 1 com gancho forte que pare a rolagem, slides do meio com 1 ideia pratica e exemplo real cada, e slide final com o CTA. Pilar de conteudo: Educativo. Use linguagem simples, proxima e profissional, sem jargao. Finalize com o CTA: "Salva esse mini guia". Ao final, gere uma legenda pronta e inclua as hashtags: #dre #financas #gestao.</t>
  </si>
  <si>
    <t>O custo invisivel que esta comendo seu lucro</t>
  </si>
  <si>
    <t>Fale de custos fixos esquecidos</t>
  </si>
  <si>
    <t>Comenta CUSTO</t>
  </si>
  <si>
    <t>#custos #lucro #negocios</t>
  </si>
  <si>
    <t>Voce e um especialista em conteudo para Instagram no nicho de negocios e empreendedorismo, falando com donos de pequenos negocios e empreendedores iniciantes. Crie um ROTEIRO DE REELS de 30 a 45 segundos sobre "O custo invisivel que esta comendo seu lucro". Comece com um gancho de 3 segundos, divida em cenas e falas curtas com exemplos praticos e termine com o CTA. Sugira tambem o texto na tela. Pilar de conteudo: Educativo. Use linguagem simples, proxima e profissional, sem jargao. Finalize com o CTA: "Comenta CUSTO". Ao final, gere uma legenda pronta e inclua as hashtags: #custos #lucro #negocios.</t>
  </si>
  <si>
    <t>Voce revisa seus numeros toda semana ou so no fim do mes?</t>
  </si>
  <si>
    <t>Enquete e dica de rotina financeira</t>
  </si>
  <si>
    <t>Vota ai</t>
  </si>
  <si>
    <t>#financas #rotina</t>
  </si>
  <si>
    <t>Voce e um especialista em conteudo para Instagram no nicho de negocios e empreendedorismo, falando com donos de pequenos negocios e empreendedores iniciantes. Crie uma sequencia de 3 a 5 STORIES sobre "Voce revisa seus numeros toda semana ou so no fim do mes?", usando o recurso interativo do formato (enquete, quiz ou caixa de perguntas) e ensinando algo na tela final. Pilar de conteudo: Engajamento. Use linguagem simples, proxima e profissional, sem jargao. Finalize com o CTA: "Vota ai". Ao final, gere uma legenda pronta e inclua as hashtags: #financas #rotina.</t>
  </si>
  <si>
    <t>Metas que funcionam: como definir e acompanhar</t>
  </si>
  <si>
    <t>Ensine metodo de metas SMART aplicado a negocios</t>
  </si>
  <si>
    <t>Salva pra montar as suas</t>
  </si>
  <si>
    <t>#metas #planejamento #negocios</t>
  </si>
  <si>
    <t>Voce e um especialista em conteudo para Instagram no nicho de negocios e empreendedorismo, falando com donos de pequenos negocios e empreendedores iniciantes. Crie um CARROSSEL sobre o tema "Metas que funcionam: como definir e acompanhar". Entregue de 6 a 8 slides: slide 1 com gancho forte que pare a rolagem, slides do meio com 1 ideia pratica e exemplo real cada, e slide final com o CTA. Pilar de conteudo: Educativo. Use linguagem simples, proxima e profissional, sem jargao. Finalize com o CTA: "Salva pra montar as suas". Ao final, gere uma legenda pronta e inclua as hashtags: #metas #planejamento #negocios.</t>
  </si>
  <si>
    <t>Como cobrar clientes atrasados sem perder a relacao</t>
  </si>
  <si>
    <t>De um roteiro de cobranca educada e firme</t>
  </si>
  <si>
    <t>Comenta COBRANCA</t>
  </si>
  <si>
    <t>#cobranca #financas #negocios</t>
  </si>
  <si>
    <t>Voce e um especialista em conteudo para Instagram no nicho de negocios e empreendedorismo, falando com donos de pequenos negocios e empreendedores iniciantes. Crie um ROTEIRO DE REELS de 30 a 45 segundos sobre "Como cobrar clientes atrasados sem perder a relacao". Comece com um gancho de 3 segundos, divida em cenas e falas curtas com exemplos praticos e termine com o CTA. Sugira tambem o texto na tela. Pilar de conteudo: Educativo. Use linguagem simples, proxima e profissional, sem jargao. Finalize com o CTA: "Comenta COBRANCA". Ao final, gere uma legenda pronta e inclua as hashtags: #cobranca #financas #negocios.</t>
  </si>
  <si>
    <t>Vagas abertas: mentoria e consultoria pra organizar seu negocio</t>
  </si>
  <si>
    <t>Apresente a oferta, bonus e escassez real</t>
  </si>
  <si>
    <t>Garanta sua vaga no link</t>
  </si>
  <si>
    <t>#mentoria #consultoria #negocios</t>
  </si>
  <si>
    <t>Voce e um especialista em conteudo para Instagram no nicho de negocios e empreendedorismo, falando com donos de pequenos negocios e empreendedores iniciantes. Crie um CARROSSEL sobre o tema "Vagas abertas: mentoria e consultoria pra organizar seu negocio". Entregue de 6 a 8 slides: slide 1 com gancho forte que pare a rolagem, slides do meio com 1 ideia pratica e exemplo real cada, e slide final com o CTA. Pilar de conteudo: Vendas. Use linguagem simples, proxima e profissional, sem jargao. Finalize com o CTA: "Garanta sua vaga no link". Ao final, gere uma legenda pronta e inclua as hashtags: #mentoria #consultoria #negocios.</t>
  </si>
  <si>
    <t>5 relatorios que voce deveria gerar todo mes</t>
  </si>
  <si>
    <t>Liste e explique pra que serve cada um</t>
  </si>
  <si>
    <t>Salva esse checklist</t>
  </si>
  <si>
    <t>#relatorios #gestao #financas</t>
  </si>
  <si>
    <t>Voce e um especialista em conteudo para Instagram no nicho de negocios e empreendedorismo, falando com donos de pequenos negocios e empreendedores iniciantes. Crie um CARROSSEL sobre o tema "5 relatorios que voce deveria gerar todo mes". Entregue de 6 a 8 slides: slide 1 com gancho forte que pare a rolagem, slides do meio com 1 ideia pratica e exemplo real cada, e slide final com o CTA. Pilar de conteudo: Educativo. Use linguagem simples, proxima e profissional, sem jargao. Finalize com o CTA: "Salva esse checklist". Ao final, gere uma legenda pronta e inclua as hashtags: #relatorios #gestao #financas.</t>
  </si>
  <si>
    <t>Como projetar o faturamento do proximo mes</t>
  </si>
  <si>
    <t>Mostre um metodo simples de projecao</t>
  </si>
  <si>
    <t>Comenta PROJECAO</t>
  </si>
  <si>
    <t>#planejamento #faturamento #negocios</t>
  </si>
  <si>
    <t>Voce e um especialista em conteudo para Instagram no nicho de negocios e empreendedorismo, falando com donos de pequenos negocios e empreendedores iniciantes. Crie um ROTEIRO DE REELS de 30 a 45 segundos sobre "Como projetar o faturamento do proximo mes". Comece com um gancho de 3 segundos, divida em cenas e falas curtas com exemplos praticos e termine com o CTA. Sugira tambem o texto na tela. Pilar de conteudo: Educativo. Use linguagem simples, proxima e profissional, sem jargao. Finalize com o CTA: "Comenta PROJECAO". Ao final, gere uma legenda pronta e inclua as hashtags: #planejamento #faturamento #negocios.</t>
  </si>
  <si>
    <t>Recapitulando: o que voce aprendeu este mes</t>
  </si>
  <si>
    <t>Resuma os principais ensinamentos do mes e agradeca</t>
  </si>
  <si>
    <t>Qual post te ajudou mais?</t>
  </si>
  <si>
    <t>#empreendedorismo #gratidao</t>
  </si>
  <si>
    <t>Voce e um especialista em conteudo para Instagram no nicho de negocios e empreendedorismo, falando com donos de pequenos negocios e empreendedores iniciantes. Crie um POST de imagem unica mais legenda sobre "Recapitulando: o que voce aprendeu este mes", com uma frase de impacto para a arte e uma legenda que conte uma historia ou reflexao. Pilar de conteudo: Inspiracao. Use linguagem simples, proxima e profissional, sem jargao. Finalize com o CTA: "Qual post te ajudou mais?". Ao final, gere uma legenda pronta e inclua as hashtags: #empreendedorismo #gratidao.</t>
  </si>
  <si>
    <t>RESUMO E INSTRUCOES</t>
  </si>
  <si>
    <t>Distribuicao por pilar</t>
  </si>
  <si>
    <t>Pilar</t>
  </si>
  <si>
    <t>Qtd</t>
  </si>
  <si>
    <t>Cor</t>
  </si>
  <si>
    <t>Total</t>
  </si>
  <si>
    <t>Progresso</t>
  </si>
  <si>
    <t>Postagens feitas</t>
  </si>
  <si>
    <t>Total de postagens</t>
  </si>
  <si>
    <t>% concluido</t>
  </si>
  <si>
    <t>Como usar:</t>
  </si>
  <si>
    <t>1) Marque a coluna Postado? como Sim quando publicar - a linha fica verde automaticamente.</t>
  </si>
  <si>
    <t>2) Use a coluna Prompt (IA): copie o texto e cole no ChatGPT, Claude ou Gemini para gerar o conteudo.</t>
  </si>
  <si>
    <t>3) No Google Sheets troque Sim/Nao por caixinha real: selecione a coluna L e va em Inserir &gt; Caixa de selecao.</t>
  </si>
  <si>
    <t>4) Edite livremente temas, legendas, datas, prompts e plataformas conforme sua estrategia.</t>
  </si>
  <si>
    <t>5) Para importar: Google Sheets &gt; Arquivo &gt; Importar &gt; Enviar este arquivo .xlsx.</t>
  </si>
  <si>
    <t>Plano: 1 post por dia (30 dias). Maioria educativo, mais engajamento, vendas e inspiracao.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</si>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</sst>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5B2C8D"/>
        <bgColor rgb="FF660066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2" borderId="0" xfId="0" applyFont="1" applyFill="1"/>
    <xf numFmtId="0" fontId="7" fillId="0" borderId="0" xfId="0" applyFont="1"/>
    <xf numFmtId="0" fontId="0" fillId="3" borderId="0" xfId="0" applyFill="1"/>
    <xf numFmtId="0" fontId="0" fillId="4" borderId="0" xfId="0" applyFill="1"/>
    <xf numFmtId="0" fontId="0" fillId="6" borderId="0" xfId="0" applyFill="1"/>
    <xf numFmtId="0" fontId="0" fillId="5" borderId="0" xfId="0" applyFill="1"/>
    <xf numFmtId="9" fontId="5" fillId="0" borderId="0" xfId="0" applyNumberFormat="1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B2C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zoomScaleNormal="100" workbookViewId="0">
      <pane ySplit="2" topLeftCell="A3" activePane="bottomLeft" state="frozen"/>
      <selection pane="bottomLeft" activeCell="L4" sqref="L4"/>
    </sheetView>
  </sheetViews>
  <sheetFormatPr defaultColWidth="8.7109375" defaultRowHeight="15" x14ac:dyDescent="0.25"/>
  <cols>
    <col min="1" max="1" width="5" customWidth="1"/>
    <col min="2" max="2" width="12" customWidth="1"/>
    <col min="3" max="3" width="15" customWidth="1"/>
    <col min="4" max="4" width="12" customWidth="1"/>
    <col min="5" max="5" width="17" customWidth="1"/>
    <col min="6" max="6" width="16" customWidth="1"/>
    <col min="7" max="7" width="34" customWidth="1"/>
    <col min="8" max="8" width="38" customWidth="1"/>
    <col min="9" max="9" width="22" customWidth="1"/>
    <col min="10" max="10" width="24" customWidth="1"/>
    <col min="11" max="11" width="62" customWidth="1"/>
    <col min="12" max="12" width="10" customWidth="1"/>
    <col min="13" max="13" width="20" customWidth="1"/>
  </cols>
  <sheetData>
    <row r="1" spans="1:13" ht="33.7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30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55.5" customHeight="1" x14ac:dyDescent="0.25">
      <c r="A3" s="4">
        <v>1</v>
      </c>
      <c r="B3" s="5">
        <v>46196</v>
      </c>
      <c r="C3" s="4" t="s">
        <v>14</v>
      </c>
      <c r="D3" s="4" t="s">
        <v>15</v>
      </c>
      <c r="E3" s="6" t="s">
        <v>16</v>
      </c>
      <c r="F3" s="4" t="s">
        <v>17</v>
      </c>
      <c r="G3" s="7" t="s">
        <v>18</v>
      </c>
      <c r="H3" s="7" t="s">
        <v>19</v>
      </c>
      <c r="I3" s="7" t="s">
        <v>20</v>
      </c>
      <c r="J3" s="7" t="s">
        <v>21</v>
      </c>
      <c r="K3" s="7" t="s">
        <v>22</v>
      </c>
      <c r="L3" s="4" t="s">
        <v>200</v>
      </c>
      <c r="M3" s="7"/>
    </row>
    <row r="4" spans="1:13" ht="55.5" customHeight="1" x14ac:dyDescent="0.25">
      <c r="A4" s="4">
        <v>2</v>
      </c>
      <c r="B4" s="5">
        <v>46197</v>
      </c>
      <c r="C4" s="4" t="s">
        <v>24</v>
      </c>
      <c r="D4" s="4" t="s">
        <v>15</v>
      </c>
      <c r="E4" s="6" t="s">
        <v>16</v>
      </c>
      <c r="F4" s="4" t="s">
        <v>25</v>
      </c>
      <c r="G4" s="7" t="s">
        <v>26</v>
      </c>
      <c r="H4" s="7" t="s">
        <v>27</v>
      </c>
      <c r="I4" s="7" t="s">
        <v>28</v>
      </c>
      <c r="J4" s="7" t="s">
        <v>29</v>
      </c>
      <c r="K4" s="7" t="s">
        <v>30</v>
      </c>
      <c r="L4" s="4" t="s">
        <v>23</v>
      </c>
      <c r="M4" s="7"/>
    </row>
    <row r="5" spans="1:13" ht="55.5" customHeight="1" x14ac:dyDescent="0.25">
      <c r="A5" s="4">
        <v>3</v>
      </c>
      <c r="B5" s="5">
        <v>46198</v>
      </c>
      <c r="C5" s="4" t="s">
        <v>31</v>
      </c>
      <c r="D5" s="4" t="s">
        <v>15</v>
      </c>
      <c r="E5" s="8" t="s">
        <v>32</v>
      </c>
      <c r="F5" s="4" t="s">
        <v>33</v>
      </c>
      <c r="G5" s="7" t="s">
        <v>34</v>
      </c>
      <c r="H5" s="7" t="s">
        <v>35</v>
      </c>
      <c r="I5" s="7" t="s">
        <v>36</v>
      </c>
      <c r="J5" s="7" t="s">
        <v>37</v>
      </c>
      <c r="K5" s="7" t="s">
        <v>38</v>
      </c>
      <c r="L5" s="4" t="s">
        <v>23</v>
      </c>
      <c r="M5" s="7"/>
    </row>
    <row r="6" spans="1:13" ht="55.5" customHeight="1" x14ac:dyDescent="0.25">
      <c r="A6" s="4">
        <v>4</v>
      </c>
      <c r="B6" s="5">
        <v>46199</v>
      </c>
      <c r="C6" s="4" t="s">
        <v>39</v>
      </c>
      <c r="D6" s="4" t="s">
        <v>15</v>
      </c>
      <c r="E6" s="6" t="s">
        <v>16</v>
      </c>
      <c r="F6" s="4" t="s">
        <v>17</v>
      </c>
      <c r="G6" s="7" t="s">
        <v>40</v>
      </c>
      <c r="H6" s="7" t="s">
        <v>41</v>
      </c>
      <c r="I6" s="7" t="s">
        <v>42</v>
      </c>
      <c r="J6" s="7" t="s">
        <v>43</v>
      </c>
      <c r="K6" s="7" t="s">
        <v>44</v>
      </c>
      <c r="L6" s="4" t="s">
        <v>23</v>
      </c>
      <c r="M6" s="7"/>
    </row>
    <row r="7" spans="1:13" ht="55.5" customHeight="1" x14ac:dyDescent="0.25">
      <c r="A7" s="4">
        <v>5</v>
      </c>
      <c r="B7" s="5">
        <v>46200</v>
      </c>
      <c r="C7" s="4" t="s">
        <v>45</v>
      </c>
      <c r="D7" s="4" t="s">
        <v>15</v>
      </c>
      <c r="E7" s="6" t="s">
        <v>16</v>
      </c>
      <c r="F7" s="4" t="s">
        <v>25</v>
      </c>
      <c r="G7" s="7" t="s">
        <v>46</v>
      </c>
      <c r="H7" s="7" t="s">
        <v>47</v>
      </c>
      <c r="I7" s="7" t="s">
        <v>48</v>
      </c>
      <c r="J7" s="7" t="s">
        <v>49</v>
      </c>
      <c r="K7" s="7" t="s">
        <v>50</v>
      </c>
      <c r="L7" s="4" t="s">
        <v>23</v>
      </c>
      <c r="M7" s="7"/>
    </row>
    <row r="8" spans="1:13" ht="55.5" customHeight="1" x14ac:dyDescent="0.25">
      <c r="A8" s="4">
        <v>6</v>
      </c>
      <c r="B8" s="5">
        <v>46201</v>
      </c>
      <c r="C8" s="4" t="s">
        <v>51</v>
      </c>
      <c r="D8" s="4" t="s">
        <v>15</v>
      </c>
      <c r="E8" s="9" t="s">
        <v>52</v>
      </c>
      <c r="F8" s="4" t="s">
        <v>25</v>
      </c>
      <c r="G8" s="7" t="s">
        <v>53</v>
      </c>
      <c r="H8" s="7" t="s">
        <v>54</v>
      </c>
      <c r="I8" s="7" t="s">
        <v>55</v>
      </c>
      <c r="J8" s="7" t="s">
        <v>56</v>
      </c>
      <c r="K8" s="7" t="s">
        <v>57</v>
      </c>
      <c r="L8" s="4" t="s">
        <v>23</v>
      </c>
      <c r="M8" s="7"/>
    </row>
    <row r="9" spans="1:13" ht="55.5" customHeight="1" x14ac:dyDescent="0.25">
      <c r="A9" s="4">
        <v>7</v>
      </c>
      <c r="B9" s="5">
        <v>46202</v>
      </c>
      <c r="C9" s="4" t="s">
        <v>58</v>
      </c>
      <c r="D9" s="4" t="s">
        <v>15</v>
      </c>
      <c r="E9" s="10" t="s">
        <v>59</v>
      </c>
      <c r="F9" s="4" t="s">
        <v>17</v>
      </c>
      <c r="G9" s="7" t="s">
        <v>60</v>
      </c>
      <c r="H9" s="7" t="s">
        <v>61</v>
      </c>
      <c r="I9" s="7" t="s">
        <v>62</v>
      </c>
      <c r="J9" s="7" t="s">
        <v>63</v>
      </c>
      <c r="K9" s="7" t="s">
        <v>64</v>
      </c>
      <c r="L9" s="4" t="s">
        <v>23</v>
      </c>
      <c r="M9" s="7"/>
    </row>
    <row r="10" spans="1:13" ht="55.5" customHeight="1" x14ac:dyDescent="0.25">
      <c r="A10" s="4">
        <v>8</v>
      </c>
      <c r="B10" s="5">
        <v>46203</v>
      </c>
      <c r="C10" s="4" t="s">
        <v>14</v>
      </c>
      <c r="D10" s="4" t="s">
        <v>15</v>
      </c>
      <c r="E10" s="6" t="s">
        <v>16</v>
      </c>
      <c r="F10" s="4" t="s">
        <v>17</v>
      </c>
      <c r="G10" s="7" t="s">
        <v>65</v>
      </c>
      <c r="H10" s="7" t="s">
        <v>66</v>
      </c>
      <c r="I10" s="7" t="s">
        <v>67</v>
      </c>
      <c r="J10" s="7" t="s">
        <v>68</v>
      </c>
      <c r="K10" s="7" t="s">
        <v>69</v>
      </c>
      <c r="L10" s="4" t="s">
        <v>23</v>
      </c>
      <c r="M10" s="7"/>
    </row>
    <row r="11" spans="1:13" ht="55.5" customHeight="1" x14ac:dyDescent="0.25">
      <c r="A11" s="4">
        <v>9</v>
      </c>
      <c r="B11" s="5">
        <v>46204</v>
      </c>
      <c r="C11" s="4" t="s">
        <v>24</v>
      </c>
      <c r="D11" s="4" t="s">
        <v>15</v>
      </c>
      <c r="E11" s="6" t="s">
        <v>16</v>
      </c>
      <c r="F11" s="4" t="s">
        <v>25</v>
      </c>
      <c r="G11" s="7" t="s">
        <v>70</v>
      </c>
      <c r="H11" s="7" t="s">
        <v>71</v>
      </c>
      <c r="I11" s="7" t="s">
        <v>72</v>
      </c>
      <c r="J11" s="7" t="s">
        <v>73</v>
      </c>
      <c r="K11" s="7" t="s">
        <v>74</v>
      </c>
      <c r="L11" s="4" t="s">
        <v>23</v>
      </c>
      <c r="M11" s="7"/>
    </row>
    <row r="12" spans="1:13" ht="55.5" customHeight="1" x14ac:dyDescent="0.25">
      <c r="A12" s="4">
        <v>10</v>
      </c>
      <c r="B12" s="5">
        <v>46205</v>
      </c>
      <c r="C12" s="4" t="s">
        <v>31</v>
      </c>
      <c r="D12" s="4" t="s">
        <v>15</v>
      </c>
      <c r="E12" s="8" t="s">
        <v>32</v>
      </c>
      <c r="F12" s="4" t="s">
        <v>75</v>
      </c>
      <c r="G12" s="7" t="s">
        <v>76</v>
      </c>
      <c r="H12" s="7" t="s">
        <v>77</v>
      </c>
      <c r="I12" s="7" t="s">
        <v>78</v>
      </c>
      <c r="J12" s="7" t="s">
        <v>79</v>
      </c>
      <c r="K12" s="7" t="s">
        <v>80</v>
      </c>
      <c r="L12" s="4" t="s">
        <v>23</v>
      </c>
      <c r="M12" s="7"/>
    </row>
    <row r="13" spans="1:13" ht="55.5" customHeight="1" x14ac:dyDescent="0.25">
      <c r="A13" s="4">
        <v>11</v>
      </c>
      <c r="B13" s="5">
        <v>46206</v>
      </c>
      <c r="C13" s="4" t="s">
        <v>39</v>
      </c>
      <c r="D13" s="4" t="s">
        <v>15</v>
      </c>
      <c r="E13" s="6" t="s">
        <v>16</v>
      </c>
      <c r="F13" s="4" t="s">
        <v>17</v>
      </c>
      <c r="G13" s="7" t="s">
        <v>81</v>
      </c>
      <c r="H13" s="7" t="s">
        <v>82</v>
      </c>
      <c r="I13" s="7" t="s">
        <v>83</v>
      </c>
      <c r="J13" s="7" t="s">
        <v>84</v>
      </c>
      <c r="K13" s="7" t="s">
        <v>85</v>
      </c>
      <c r="L13" s="4" t="s">
        <v>23</v>
      </c>
      <c r="M13" s="7"/>
    </row>
    <row r="14" spans="1:13" ht="55.5" customHeight="1" x14ac:dyDescent="0.25">
      <c r="A14" s="4">
        <v>12</v>
      </c>
      <c r="B14" s="5">
        <v>46207</v>
      </c>
      <c r="C14" s="4" t="s">
        <v>45</v>
      </c>
      <c r="D14" s="4" t="s">
        <v>15</v>
      </c>
      <c r="E14" s="6" t="s">
        <v>16</v>
      </c>
      <c r="F14" s="4" t="s">
        <v>25</v>
      </c>
      <c r="G14" s="7" t="s">
        <v>86</v>
      </c>
      <c r="H14" s="7" t="s">
        <v>87</v>
      </c>
      <c r="I14" s="7" t="s">
        <v>88</v>
      </c>
      <c r="J14" s="7" t="s">
        <v>89</v>
      </c>
      <c r="K14" s="7" t="s">
        <v>90</v>
      </c>
      <c r="L14" s="4" t="s">
        <v>23</v>
      </c>
      <c r="M14" s="7"/>
    </row>
    <row r="15" spans="1:13" ht="55.5" customHeight="1" x14ac:dyDescent="0.25">
      <c r="A15" s="4">
        <v>13</v>
      </c>
      <c r="B15" s="5">
        <v>46208</v>
      </c>
      <c r="C15" s="4" t="s">
        <v>51</v>
      </c>
      <c r="D15" s="4" t="s">
        <v>15</v>
      </c>
      <c r="E15" s="9" t="s">
        <v>52</v>
      </c>
      <c r="F15" s="4" t="s">
        <v>91</v>
      </c>
      <c r="G15" s="7" t="s">
        <v>92</v>
      </c>
      <c r="H15" s="7" t="s">
        <v>93</v>
      </c>
      <c r="I15" s="7" t="s">
        <v>94</v>
      </c>
      <c r="J15" s="7" t="s">
        <v>95</v>
      </c>
      <c r="K15" s="7" t="s">
        <v>96</v>
      </c>
      <c r="L15" s="4" t="s">
        <v>23</v>
      </c>
      <c r="M15" s="7"/>
    </row>
    <row r="16" spans="1:13" ht="55.5" customHeight="1" x14ac:dyDescent="0.25">
      <c r="A16" s="4">
        <v>14</v>
      </c>
      <c r="B16" s="5">
        <v>46209</v>
      </c>
      <c r="C16" s="4" t="s">
        <v>58</v>
      </c>
      <c r="D16" s="4" t="s">
        <v>15</v>
      </c>
      <c r="E16" s="6" t="s">
        <v>16</v>
      </c>
      <c r="F16" s="4" t="s">
        <v>17</v>
      </c>
      <c r="G16" s="7" t="s">
        <v>97</v>
      </c>
      <c r="H16" s="7" t="s">
        <v>98</v>
      </c>
      <c r="I16" s="7" t="s">
        <v>99</v>
      </c>
      <c r="J16" s="7" t="s">
        <v>100</v>
      </c>
      <c r="K16" s="7" t="s">
        <v>101</v>
      </c>
      <c r="L16" s="4" t="s">
        <v>23</v>
      </c>
      <c r="M16" s="7"/>
    </row>
    <row r="17" spans="1:13" ht="55.5" customHeight="1" x14ac:dyDescent="0.25">
      <c r="A17" s="4">
        <v>15</v>
      </c>
      <c r="B17" s="5">
        <v>46210</v>
      </c>
      <c r="C17" s="4" t="s">
        <v>14</v>
      </c>
      <c r="D17" s="4" t="s">
        <v>15</v>
      </c>
      <c r="E17" s="6" t="s">
        <v>16</v>
      </c>
      <c r="F17" s="4" t="s">
        <v>25</v>
      </c>
      <c r="G17" s="7" t="s">
        <v>102</v>
      </c>
      <c r="H17" s="7" t="s">
        <v>103</v>
      </c>
      <c r="I17" s="7" t="s">
        <v>104</v>
      </c>
      <c r="J17" s="7" t="s">
        <v>105</v>
      </c>
      <c r="K17" s="7" t="s">
        <v>106</v>
      </c>
      <c r="L17" s="4" t="s">
        <v>23</v>
      </c>
      <c r="M17" s="7"/>
    </row>
    <row r="18" spans="1:13" ht="55.5" customHeight="1" x14ac:dyDescent="0.25">
      <c r="A18" s="4">
        <v>16</v>
      </c>
      <c r="B18" s="5">
        <v>46211</v>
      </c>
      <c r="C18" s="4" t="s">
        <v>24</v>
      </c>
      <c r="D18" s="4" t="s">
        <v>15</v>
      </c>
      <c r="E18" s="8" t="s">
        <v>32</v>
      </c>
      <c r="F18" s="4" t="s">
        <v>107</v>
      </c>
      <c r="G18" s="7" t="s">
        <v>108</v>
      </c>
      <c r="H18" s="7" t="s">
        <v>109</v>
      </c>
      <c r="I18" s="7" t="s">
        <v>110</v>
      </c>
      <c r="J18" s="7" t="s">
        <v>111</v>
      </c>
      <c r="K18" s="7" t="s">
        <v>112</v>
      </c>
      <c r="L18" s="4" t="s">
        <v>23</v>
      </c>
      <c r="M18" s="7"/>
    </row>
    <row r="19" spans="1:13" ht="55.5" customHeight="1" x14ac:dyDescent="0.25">
      <c r="A19" s="4">
        <v>17</v>
      </c>
      <c r="B19" s="5">
        <v>46212</v>
      </c>
      <c r="C19" s="4" t="s">
        <v>31</v>
      </c>
      <c r="D19" s="4" t="s">
        <v>15</v>
      </c>
      <c r="E19" s="6" t="s">
        <v>16</v>
      </c>
      <c r="F19" s="4" t="s">
        <v>17</v>
      </c>
      <c r="G19" s="7" t="s">
        <v>113</v>
      </c>
      <c r="H19" s="7" t="s">
        <v>114</v>
      </c>
      <c r="I19" s="7" t="s">
        <v>115</v>
      </c>
      <c r="J19" s="7" t="s">
        <v>116</v>
      </c>
      <c r="K19" s="7" t="s">
        <v>117</v>
      </c>
      <c r="L19" s="4" t="s">
        <v>23</v>
      </c>
      <c r="M19" s="7"/>
    </row>
    <row r="20" spans="1:13" ht="55.5" customHeight="1" x14ac:dyDescent="0.25">
      <c r="A20" s="4">
        <v>18</v>
      </c>
      <c r="B20" s="5">
        <v>46213</v>
      </c>
      <c r="C20" s="4" t="s">
        <v>39</v>
      </c>
      <c r="D20" s="4" t="s">
        <v>15</v>
      </c>
      <c r="E20" s="10" t="s">
        <v>59</v>
      </c>
      <c r="F20" s="4" t="s">
        <v>25</v>
      </c>
      <c r="G20" s="7" t="s">
        <v>118</v>
      </c>
      <c r="H20" s="7" t="s">
        <v>119</v>
      </c>
      <c r="I20" s="7" t="s">
        <v>120</v>
      </c>
      <c r="J20" s="7" t="s">
        <v>121</v>
      </c>
      <c r="K20" s="7" t="s">
        <v>122</v>
      </c>
      <c r="L20" s="4" t="s">
        <v>23</v>
      </c>
      <c r="M20" s="7"/>
    </row>
    <row r="21" spans="1:13" ht="55.5" customHeight="1" x14ac:dyDescent="0.25">
      <c r="A21" s="4">
        <v>19</v>
      </c>
      <c r="B21" s="5">
        <v>46214</v>
      </c>
      <c r="C21" s="4" t="s">
        <v>45</v>
      </c>
      <c r="D21" s="4" t="s">
        <v>15</v>
      </c>
      <c r="E21" s="6" t="s">
        <v>16</v>
      </c>
      <c r="F21" s="4" t="s">
        <v>17</v>
      </c>
      <c r="G21" s="7" t="s">
        <v>123</v>
      </c>
      <c r="H21" s="7" t="s">
        <v>124</v>
      </c>
      <c r="I21" s="7" t="s">
        <v>125</v>
      </c>
      <c r="J21" s="7" t="s">
        <v>126</v>
      </c>
      <c r="K21" s="7" t="s">
        <v>127</v>
      </c>
      <c r="L21" s="4" t="s">
        <v>23</v>
      </c>
      <c r="M21" s="7"/>
    </row>
    <row r="22" spans="1:13" ht="55.5" customHeight="1" x14ac:dyDescent="0.25">
      <c r="A22" s="4">
        <v>20</v>
      </c>
      <c r="B22" s="5">
        <v>46215</v>
      </c>
      <c r="C22" s="4" t="s">
        <v>51</v>
      </c>
      <c r="D22" s="4" t="s">
        <v>15</v>
      </c>
      <c r="E22" s="6" t="s">
        <v>16</v>
      </c>
      <c r="F22" s="4" t="s">
        <v>25</v>
      </c>
      <c r="G22" s="7" t="s">
        <v>128</v>
      </c>
      <c r="H22" s="7" t="s">
        <v>129</v>
      </c>
      <c r="I22" s="7" t="s">
        <v>130</v>
      </c>
      <c r="J22" s="7" t="s">
        <v>131</v>
      </c>
      <c r="K22" s="7" t="s">
        <v>132</v>
      </c>
      <c r="L22" s="4" t="s">
        <v>23</v>
      </c>
      <c r="M22" s="7"/>
    </row>
    <row r="23" spans="1:13" ht="55.5" customHeight="1" x14ac:dyDescent="0.25">
      <c r="A23" s="4">
        <v>21</v>
      </c>
      <c r="B23" s="5">
        <v>46216</v>
      </c>
      <c r="C23" s="4" t="s">
        <v>58</v>
      </c>
      <c r="D23" s="4" t="s">
        <v>15</v>
      </c>
      <c r="E23" s="9" t="s">
        <v>52</v>
      </c>
      <c r="F23" s="4" t="s">
        <v>91</v>
      </c>
      <c r="G23" s="7" t="s">
        <v>133</v>
      </c>
      <c r="H23" s="7" t="s">
        <v>134</v>
      </c>
      <c r="I23" s="7" t="s">
        <v>135</v>
      </c>
      <c r="J23" s="7" t="s">
        <v>136</v>
      </c>
      <c r="K23" s="7" t="s">
        <v>137</v>
      </c>
      <c r="L23" s="4" t="s">
        <v>23</v>
      </c>
      <c r="M23" s="7"/>
    </row>
    <row r="24" spans="1:13" ht="55.5" customHeight="1" x14ac:dyDescent="0.25">
      <c r="A24" s="4">
        <v>22</v>
      </c>
      <c r="B24" s="5">
        <v>46217</v>
      </c>
      <c r="C24" s="4" t="s">
        <v>14</v>
      </c>
      <c r="D24" s="4" t="s">
        <v>15</v>
      </c>
      <c r="E24" s="6" t="s">
        <v>16</v>
      </c>
      <c r="F24" s="4" t="s">
        <v>17</v>
      </c>
      <c r="G24" s="7" t="s">
        <v>138</v>
      </c>
      <c r="H24" s="7" t="s">
        <v>139</v>
      </c>
      <c r="I24" s="7" t="s">
        <v>140</v>
      </c>
      <c r="J24" s="7" t="s">
        <v>141</v>
      </c>
      <c r="K24" s="7" t="s">
        <v>142</v>
      </c>
      <c r="L24" s="4" t="s">
        <v>23</v>
      </c>
      <c r="M24" s="7"/>
    </row>
    <row r="25" spans="1:13" ht="55.5" customHeight="1" x14ac:dyDescent="0.25">
      <c r="A25" s="4">
        <v>23</v>
      </c>
      <c r="B25" s="5">
        <v>46218</v>
      </c>
      <c r="C25" s="4" t="s">
        <v>24</v>
      </c>
      <c r="D25" s="4" t="s">
        <v>15</v>
      </c>
      <c r="E25" s="6" t="s">
        <v>16</v>
      </c>
      <c r="F25" s="4" t="s">
        <v>25</v>
      </c>
      <c r="G25" s="7" t="s">
        <v>143</v>
      </c>
      <c r="H25" s="7" t="s">
        <v>144</v>
      </c>
      <c r="I25" s="7" t="s">
        <v>145</v>
      </c>
      <c r="J25" s="7" t="s">
        <v>146</v>
      </c>
      <c r="K25" s="7" t="s">
        <v>147</v>
      </c>
      <c r="L25" s="4" t="s">
        <v>23</v>
      </c>
      <c r="M25" s="7"/>
    </row>
    <row r="26" spans="1:13" ht="55.5" customHeight="1" x14ac:dyDescent="0.25">
      <c r="A26" s="4">
        <v>24</v>
      </c>
      <c r="B26" s="5">
        <v>46219</v>
      </c>
      <c r="C26" s="4" t="s">
        <v>31</v>
      </c>
      <c r="D26" s="4" t="s">
        <v>15</v>
      </c>
      <c r="E26" s="8" t="s">
        <v>32</v>
      </c>
      <c r="F26" s="4" t="s">
        <v>33</v>
      </c>
      <c r="G26" s="7" t="s">
        <v>148</v>
      </c>
      <c r="H26" s="7" t="s">
        <v>149</v>
      </c>
      <c r="I26" s="7" t="s">
        <v>150</v>
      </c>
      <c r="J26" s="7" t="s">
        <v>151</v>
      </c>
      <c r="K26" s="7" t="s">
        <v>152</v>
      </c>
      <c r="L26" s="4" t="s">
        <v>23</v>
      </c>
      <c r="M26" s="7"/>
    </row>
    <row r="27" spans="1:13" ht="55.5" customHeight="1" x14ac:dyDescent="0.25">
      <c r="A27" s="4">
        <v>25</v>
      </c>
      <c r="B27" s="5">
        <v>46220</v>
      </c>
      <c r="C27" s="4" t="s">
        <v>39</v>
      </c>
      <c r="D27" s="4" t="s">
        <v>15</v>
      </c>
      <c r="E27" s="6" t="s">
        <v>16</v>
      </c>
      <c r="F27" s="4" t="s">
        <v>17</v>
      </c>
      <c r="G27" s="7" t="s">
        <v>153</v>
      </c>
      <c r="H27" s="7" t="s">
        <v>154</v>
      </c>
      <c r="I27" s="7" t="s">
        <v>155</v>
      </c>
      <c r="J27" s="7" t="s">
        <v>156</v>
      </c>
      <c r="K27" s="7" t="s">
        <v>157</v>
      </c>
      <c r="L27" s="4" t="s">
        <v>23</v>
      </c>
      <c r="M27" s="7"/>
    </row>
    <row r="28" spans="1:13" ht="55.5" customHeight="1" x14ac:dyDescent="0.25">
      <c r="A28" s="4">
        <v>26</v>
      </c>
      <c r="B28" s="5">
        <v>46221</v>
      </c>
      <c r="C28" s="4" t="s">
        <v>45</v>
      </c>
      <c r="D28" s="4" t="s">
        <v>15</v>
      </c>
      <c r="E28" s="6" t="s">
        <v>16</v>
      </c>
      <c r="F28" s="4" t="s">
        <v>25</v>
      </c>
      <c r="G28" s="7" t="s">
        <v>158</v>
      </c>
      <c r="H28" s="7" t="s">
        <v>159</v>
      </c>
      <c r="I28" s="7" t="s">
        <v>160</v>
      </c>
      <c r="J28" s="7" t="s">
        <v>161</v>
      </c>
      <c r="K28" s="7" t="s">
        <v>162</v>
      </c>
      <c r="L28" s="4" t="s">
        <v>23</v>
      </c>
      <c r="M28" s="7"/>
    </row>
    <row r="29" spans="1:13" ht="55.5" customHeight="1" x14ac:dyDescent="0.25">
      <c r="A29" s="4">
        <v>27</v>
      </c>
      <c r="B29" s="5">
        <v>46222</v>
      </c>
      <c r="C29" s="4" t="s">
        <v>51</v>
      </c>
      <c r="D29" s="4" t="s">
        <v>15</v>
      </c>
      <c r="E29" s="10" t="s">
        <v>59</v>
      </c>
      <c r="F29" s="4" t="s">
        <v>17</v>
      </c>
      <c r="G29" s="7" t="s">
        <v>163</v>
      </c>
      <c r="H29" s="7" t="s">
        <v>164</v>
      </c>
      <c r="I29" s="7" t="s">
        <v>165</v>
      </c>
      <c r="J29" s="7" t="s">
        <v>166</v>
      </c>
      <c r="K29" s="7" t="s">
        <v>167</v>
      </c>
      <c r="L29" s="4" t="s">
        <v>23</v>
      </c>
      <c r="M29" s="7"/>
    </row>
    <row r="30" spans="1:13" ht="55.5" customHeight="1" x14ac:dyDescent="0.25">
      <c r="A30" s="4">
        <v>28</v>
      </c>
      <c r="B30" s="5">
        <v>46223</v>
      </c>
      <c r="C30" s="4" t="s">
        <v>58</v>
      </c>
      <c r="D30" s="4" t="s">
        <v>15</v>
      </c>
      <c r="E30" s="6" t="s">
        <v>16</v>
      </c>
      <c r="F30" s="4" t="s">
        <v>17</v>
      </c>
      <c r="G30" s="7" t="s">
        <v>168</v>
      </c>
      <c r="H30" s="7" t="s">
        <v>169</v>
      </c>
      <c r="I30" s="7" t="s">
        <v>170</v>
      </c>
      <c r="J30" s="7" t="s">
        <v>171</v>
      </c>
      <c r="K30" s="7" t="s">
        <v>172</v>
      </c>
      <c r="L30" s="4" t="s">
        <v>23</v>
      </c>
      <c r="M30" s="7"/>
    </row>
    <row r="31" spans="1:13" ht="55.5" customHeight="1" x14ac:dyDescent="0.25">
      <c r="A31" s="4">
        <v>29</v>
      </c>
      <c r="B31" s="5">
        <v>46224</v>
      </c>
      <c r="C31" s="4" t="s">
        <v>14</v>
      </c>
      <c r="D31" s="4" t="s">
        <v>15</v>
      </c>
      <c r="E31" s="6" t="s">
        <v>16</v>
      </c>
      <c r="F31" s="4" t="s">
        <v>25</v>
      </c>
      <c r="G31" s="7" t="s">
        <v>173</v>
      </c>
      <c r="H31" s="7" t="s">
        <v>174</v>
      </c>
      <c r="I31" s="7" t="s">
        <v>175</v>
      </c>
      <c r="J31" s="7" t="s">
        <v>176</v>
      </c>
      <c r="K31" s="7" t="s">
        <v>177</v>
      </c>
      <c r="L31" s="4" t="s">
        <v>23</v>
      </c>
      <c r="M31" s="7"/>
    </row>
    <row r="32" spans="1:13" ht="55.5" customHeight="1" x14ac:dyDescent="0.25">
      <c r="A32" s="4">
        <v>30</v>
      </c>
      <c r="B32" s="5">
        <v>46225</v>
      </c>
      <c r="C32" s="4" t="s">
        <v>24</v>
      </c>
      <c r="D32" s="4" t="s">
        <v>15</v>
      </c>
      <c r="E32" s="9" t="s">
        <v>52</v>
      </c>
      <c r="F32" s="4" t="s">
        <v>91</v>
      </c>
      <c r="G32" s="7" t="s">
        <v>178</v>
      </c>
      <c r="H32" s="7" t="s">
        <v>179</v>
      </c>
      <c r="I32" s="7" t="s">
        <v>180</v>
      </c>
      <c r="J32" s="7" t="s">
        <v>181</v>
      </c>
      <c r="K32" s="7" t="s">
        <v>182</v>
      </c>
      <c r="L32" s="4" t="s">
        <v>23</v>
      </c>
      <c r="M32" s="7"/>
    </row>
  </sheetData>
  <mergeCells count="1">
    <mergeCell ref="A1:M1"/>
  </mergeCells>
  <conditionalFormatting sqref="A3:M32">
    <cfRule type="expression" dxfId="0" priority="2">
      <formula>$L3="Sim"</formula>
    </cfRule>
  </conditionalFormatting>
  <dataValidations count="1">
    <dataValidation type="list" sqref="L3:L32" xr:uid="{00000000-0002-0000-0000-000000000000}">
      <formula1>"Sim,Nao"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zoomScaleNormal="100" workbookViewId="0"/>
  </sheetViews>
  <sheetFormatPr defaultColWidth="8.7109375" defaultRowHeight="15" x14ac:dyDescent="0.25"/>
  <cols>
    <col min="1" max="1" width="95" customWidth="1"/>
    <col min="2" max="2" width="14" customWidth="1"/>
    <col min="3" max="3" width="8" customWidth="1"/>
  </cols>
  <sheetData>
    <row r="1" spans="1:3" ht="30" customHeight="1" x14ac:dyDescent="0.25">
      <c r="A1" s="1" t="s">
        <v>183</v>
      </c>
      <c r="B1" s="1"/>
      <c r="C1" s="1"/>
    </row>
    <row r="3" spans="1:3" x14ac:dyDescent="0.25">
      <c r="A3" s="11" t="s">
        <v>184</v>
      </c>
    </row>
    <row r="4" spans="1:3" x14ac:dyDescent="0.25">
      <c r="A4" s="12" t="s">
        <v>185</v>
      </c>
      <c r="B4" s="12" t="s">
        <v>186</v>
      </c>
      <c r="C4" s="12" t="s">
        <v>187</v>
      </c>
    </row>
    <row r="5" spans="1:3" x14ac:dyDescent="0.25">
      <c r="A5" s="13" t="s">
        <v>16</v>
      </c>
      <c r="B5" s="13">
        <f>COUNTIF('Calendario 30 dias'!E:E,"Educativo")</f>
        <v>19</v>
      </c>
      <c r="C5" s="14"/>
    </row>
    <row r="6" spans="1:3" x14ac:dyDescent="0.25">
      <c r="A6" s="13" t="s">
        <v>32</v>
      </c>
      <c r="B6" s="13">
        <f>COUNTIF('Calendario 30 dias'!E:E,"Engajamento")</f>
        <v>4</v>
      </c>
      <c r="C6" s="15"/>
    </row>
    <row r="7" spans="1:3" x14ac:dyDescent="0.25">
      <c r="A7" s="13" t="s">
        <v>59</v>
      </c>
      <c r="B7" s="13">
        <f>COUNTIF('Calendario 30 dias'!E:E,"Vendas")</f>
        <v>3</v>
      </c>
      <c r="C7" s="16"/>
    </row>
    <row r="8" spans="1:3" x14ac:dyDescent="0.25">
      <c r="A8" s="13" t="s">
        <v>52</v>
      </c>
      <c r="B8" s="13">
        <f>COUNTIF('Calendario 30 dias'!E:E,"Inspiracao")</f>
        <v>4</v>
      </c>
      <c r="C8" s="17"/>
    </row>
    <row r="9" spans="1:3" x14ac:dyDescent="0.25">
      <c r="A9" s="11" t="s">
        <v>188</v>
      </c>
      <c r="B9" s="11">
        <f>SUM(B5:B8)</f>
        <v>30</v>
      </c>
    </row>
    <row r="12" spans="1:3" x14ac:dyDescent="0.25">
      <c r="A12" s="11" t="s">
        <v>189</v>
      </c>
    </row>
    <row r="13" spans="1:3" x14ac:dyDescent="0.25">
      <c r="A13" s="13" t="s">
        <v>190</v>
      </c>
      <c r="B13" s="11">
        <f>COUNTIF('Calendario 30 dias'!L:L,"Sim")</f>
        <v>1</v>
      </c>
    </row>
    <row r="14" spans="1:3" x14ac:dyDescent="0.25">
      <c r="A14" s="13" t="s">
        <v>191</v>
      </c>
      <c r="B14" s="11">
        <f>COUNTA('Calendario 30 dias'!A3:A32)</f>
        <v>30</v>
      </c>
    </row>
    <row r="15" spans="1:3" x14ac:dyDescent="0.25">
      <c r="A15" s="13" t="s">
        <v>192</v>
      </c>
      <c r="B15" s="18">
        <f>B13/B14</f>
        <v>3.3333333333333333E-2</v>
      </c>
    </row>
    <row r="17" spans="1:1" x14ac:dyDescent="0.25">
      <c r="A17" s="19" t="s">
        <v>193</v>
      </c>
    </row>
    <row r="18" spans="1:1" x14ac:dyDescent="0.25">
      <c r="A18" s="20" t="s">
        <v>194</v>
      </c>
    </row>
    <row r="19" spans="1:1" x14ac:dyDescent="0.25">
      <c r="A19" s="20" t="s">
        <v>195</v>
      </c>
    </row>
    <row r="20" spans="1:1" x14ac:dyDescent="0.25">
      <c r="A20" s="20" t="s">
        <v>196</v>
      </c>
    </row>
    <row r="21" spans="1:1" x14ac:dyDescent="0.25">
      <c r="A21" s="20" t="s">
        <v>197</v>
      </c>
    </row>
    <row r="22" spans="1:1" x14ac:dyDescent="0.25">
      <c r="A22" s="20" t="s">
        <v>198</v>
      </c>
    </row>
    <row r="24" spans="1:1" x14ac:dyDescent="0.25">
      <c r="A24" s="19" t="s">
        <v>199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Calendario 30 dias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Ronaldo Correia</cp:lastModifiedBy>
  <cp:revision>0</cp:revision>
  <dcterms:created xsi:type="dcterms:W3CDTF">2026-06-23T12:57:12Z</dcterms:created>
  <dcterms:modified xsi:type="dcterms:W3CDTF">2026-06-23T13:21:03Z</dcterms:modified>
  <dc:language>en-US</dc:language>
</cp:coreProperties>
</file>