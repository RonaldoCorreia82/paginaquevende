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io 30 dias" sheetId="1" state="visible" r:id="rId3"/>
    <sheet name="Resum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<sst xmlns="http://schemas.openxmlformats.org/spreadsheetml/2006/main" count="367" uniqueCount="227">
  <si>
    <t xml:space="preserve">CALENDARIO DE POSTAGENS - POSTS DE IMAGEM (1:1 e Retrato) - 30 DIAS  |  Negocios e Empreendedorismo</t>
  </si>
  <si>
    <t xml:space="preserve">Dia</t>
  </si>
  <si>
    <t xml:space="preserve">Data</t>
  </si>
  <si>
    <t xml:space="preserve">Dia da semana</t>
  </si>
  <si>
    <t xml:space="preserve">Plataforma</t>
  </si>
  <si>
    <t xml:space="preserve">Pilar de conteudo</t>
  </si>
  <si>
    <t xml:space="preserve">Formato/Proporcao</t>
  </si>
  <si>
    <t xml:space="preserve">Tema / Titulo</t>
  </si>
  <si>
    <t xml:space="preserve">Texto na imagem</t>
  </si>
  <si>
    <t xml:space="preserve">Ideia da legenda</t>
  </si>
  <si>
    <t xml:space="preserve">CTA (chamada)</t>
  </si>
  <si>
    <t xml:space="preserve">Hashtags</t>
  </si>
  <si>
    <t xml:space="preserve">Prompt (IA)</t>
  </si>
  <si>
    <t xml:space="preserve">Postado?</t>
  </si>
  <si>
    <t xml:space="preserve">Observacoes</t>
  </si>
  <si>
    <t xml:space="preserve">terca-feira</t>
  </si>
  <si>
    <t xml:space="preserve">Instagram</t>
  </si>
  <si>
    <t xml:space="preserve">Educativo</t>
  </si>
  <si>
    <t xml:space="preserve">Retrato 4:5</t>
  </si>
  <si>
    <t xml:space="preserve">3 erros que fazem seu negocio perder dinheiro</t>
  </si>
  <si>
    <t xml:space="preserve">3 ERROS QUE DRENAM SEU CAIXA</t>
  </si>
  <si>
    <t xml:space="preserve">Explique cada erro e como evitar</t>
  </si>
  <si>
    <t xml:space="preserve">Salve para nao esquecer</t>
  </si>
  <si>
    <t xml:space="preserve">#empreendedorismo #negocios #gestao</t>
  </si>
  <si>
    <t xml:space="preserve">Voce e designer e redator de conteudo para Instagram no nicho de negocios e empreendedorismo, para donos de pequenos negocios e empreendedores iniciantes. Crie um POST DE IMAGEM UNICA na proporcao Retrato 4:5 sobre o tema "3 erros que fazem seu negocio perder dinheiro". Descreva a arte: fundo, paleta (use tons sobrios e profissionais), composicao e onde fica o texto. O texto principal em destaque na imagem deve ser: "3 ERROS QUE DRENAM SEU CAIXA". Mantenha legibilidade alta, pouco texto na arte e foco em um unico conceito. Pilar: Educativo. Em seguida, escreva a LEGENDA do post em portugues, com gancho na 1a linha, explicacao pratica com exemplo e o CTA: "Salve para nao esquecer". Finalize com as hashtags: #empreendedorismo #negocios #gestao.</t>
  </si>
  <si>
    <t xml:space="preserve">Nao</t>
  </si>
  <si>
    <t xml:space="preserve">quarta-feira</t>
  </si>
  <si>
    <t xml:space="preserve">Quadrado 1:1</t>
  </si>
  <si>
    <t xml:space="preserve">Como precificar sem prejuizo</t>
  </si>
  <si>
    <t xml:space="preserve">CUSTO + MARGEM + IMPOSTO = PRECO</t>
  </si>
  <si>
    <t xml:space="preserve">Mostre a formula simples com exemplo</t>
  </si>
  <si>
    <t xml:space="preserve">Comenta PRECO</t>
  </si>
  <si>
    <t xml:space="preserve">#precificacao #pequenosnegocios #empreender</t>
  </si>
  <si>
    <t xml:space="preserve">Voce e designer e redator de conteudo para Instagram no nicho de negocios e empreendedorismo, para donos de pequenos negocios e empreendedores iniciantes. Crie um POST DE IMAGEM UNICA na proporcao Quadrado 1:1 sobre o tema "Como precificar sem prejuizo". Descreva a arte: fundo, paleta (use tons sobrios e profissionais), composicao e onde fica o texto. O texto principal em destaque na imagem deve ser: "CUSTO + MARGEM + IMPOSTO = PRECO". Mantenha legibilidade alta, pouco texto na arte e foco em um unico conceito. Pilar: Educativo. Em seguida, escreva a LEGENDA do post em portugues, com gancho na 1a linha, explicacao pratica com exemplo e o CTA: "Comenta PRECO". Finalize com as hashtags: #precificacao #pequenosnegocios #empreender.</t>
  </si>
  <si>
    <t xml:space="preserve">quinta-feira</t>
  </si>
  <si>
    <t xml:space="preserve">Engajamento</t>
  </si>
  <si>
    <t xml:space="preserve">Pergunta: voce sabe seu custo real?</t>
  </si>
  <si>
    <t xml:space="preserve">VOCE SABE QUANTO CUSTA O QUE VOCE VENDE?</t>
  </si>
  <si>
    <t xml:space="preserve">Provoque reflexao e peca resposta</t>
  </si>
  <si>
    <t xml:space="preserve">Responde nos comentarios</t>
  </si>
  <si>
    <t xml:space="preserve">#empreendedorismo #gestao</t>
  </si>
  <si>
    <t xml:space="preserve">Voce e designer e redator de conteudo para Instagram no nicho de negocios e empreendedorismo, para donos de pequenos negocios e empreendedores iniciantes. Crie um POST DE IMAGEM UNICA na proporcao Quadrado 1:1 sobre o tema "Pergunta: voce sabe seu custo real?". Descreva a arte: fundo, paleta (use tons sobrios e profissionais), composicao e onde fica o texto. O texto principal em destaque na imagem deve ser: "VOCE SABE QUANTO CUSTA O QUE VOCE VENDE?". Mantenha legibilidade alta, pouco texto na arte e foco em um unico conceito. Pilar: Engajamento. Em seguida, escreva a LEGENDA do post em portugues, com gancho na 1a linha, explicacao pratica com exemplo e o CTA: "Responde nos comentarios". Finalize com as hashtags: #empreendedorismo #gestao.</t>
  </si>
  <si>
    <t xml:space="preserve">sexta-feira</t>
  </si>
  <si>
    <t xml:space="preserve">5 indicadores essenciais do negocio</t>
  </si>
  <si>
    <t xml:space="preserve">5 NUMEROS QUE TODO DONO PRECISA OLHAR</t>
  </si>
  <si>
    <t xml:space="preserve">Liste faturamento, lucro, ticket, CAC e caixa</t>
  </si>
  <si>
    <t xml:space="preserve">Qual voce acompanha?</t>
  </si>
  <si>
    <t xml:space="preserve">#financas #gestaoempresarial #negocios</t>
  </si>
  <si>
    <t xml:space="preserve">Voce e designer e redator de conteudo para Instagram no nicho de negocios e empreendedorismo, para donos de pequenos negocios e empreendedores iniciantes. Crie um POST DE IMAGEM UNICA na proporcao Retrato 4:5 sobre o tema "5 indicadores essenciais do negocio". Descreva a arte: fundo, paleta (use tons sobrios e profissionais), composicao e onde fica o texto. O texto principal em destaque na imagem deve ser: "5 NUMEROS QUE TODO DONO PRECISA OLHAR". Mantenha legibilidade alta, pouco texto na arte e foco em um unico conceito. Pilar: Educativo. Em seguida, escreva a LEGENDA do post em portugues, com gancho na 1a linha, explicacao pratica com exemplo e o CTA: "Qual voce acompanha?". Finalize com as hashtags: #financas #gestaoempresarial #negocios.</t>
  </si>
  <si>
    <t xml:space="preserve">sabado</t>
  </si>
  <si>
    <t xml:space="preserve">O que e fluxo de caixa</t>
  </si>
  <si>
    <t xml:space="preserve">FLUXO DE CAIXA EXPLICADO EM 1 IMAGEM</t>
  </si>
  <si>
    <t xml:space="preserve">Defina de forma simples com exemplo</t>
  </si>
  <si>
    <t xml:space="preserve">Salva pra aplicar</t>
  </si>
  <si>
    <t xml:space="preserve">#fluxodecaixa #financas #empreender</t>
  </si>
  <si>
    <t xml:space="preserve">Voce e designer e redator de conteudo para Instagram no nicho de negocios e empreendedorismo, para donos de pequenos negocios e empreendedores iniciantes. Crie um POST DE IMAGEM UNICA na proporcao Quadrado 1:1 sobre o tema "O que e fluxo de caixa". Descreva a arte: fundo, paleta (use tons sobrios e profissionais), composicao e onde fica o texto. O texto principal em destaque na imagem deve ser: "FLUXO DE CAIXA EXPLICADO EM 1 IMAGEM". Mantenha legibilidade alta, pouco texto na arte e foco em um unico conceito. Pilar: Educativo. Em seguida, escreva a LEGENDA do post em portugues, com gancho na 1a linha, explicacao pratica com exemplo e o CTA: "Salva pra aplicar". Finalize com as hashtags: #fluxodecaixa #financas #empreender.</t>
  </si>
  <si>
    <t xml:space="preserve">domingo</t>
  </si>
  <si>
    <t xml:space="preserve">Inspiracao</t>
  </si>
  <si>
    <t xml:space="preserve">Frase de mentalidade empreendedora</t>
  </si>
  <si>
    <t xml:space="preserve">QUEM PENSA NO LONGO PRAZO NAO DESISTE NO 1o ANO</t>
  </si>
  <si>
    <t xml:space="preserve">Conte o contexto da frase</t>
  </si>
  <si>
    <t xml:space="preserve">Marca quem precisa ler</t>
  </si>
  <si>
    <t xml:space="preserve">#mentalidade #empreendedorismo #foco</t>
  </si>
  <si>
    <t xml:space="preserve">Voce e designer e redator de conteudo para Instagram no nicho de negocios e empreendedorismo, para donos de pequenos negocios e empreendedores iniciantes. Crie um POST DE IMAGEM UNICA na proporcao Retrato 4:5 sobre o tema "Frase de mentalidade empreendedora". Descreva a arte: fundo, paleta (use tons sobrios e profissionais), composicao e onde fica o texto. O texto principal em destaque na imagem deve ser: "QUEM PENSA NO LONGO PRAZO NAO DESISTE NO 1o ANO". Mantenha legibilidade alta, pouco texto na arte e foco em um unico conceito. Pilar: Inspiracao. Em seguida, escreva a LEGENDA do post em portugues, com gancho na 1a linha, explicacao pratica com exemplo e o CTA: "Marca quem precisa ler". Finalize com as hashtags: #mentalidade #empreendedorismo #foco.</t>
  </si>
  <si>
    <t xml:space="preserve">segunda-feira</t>
  </si>
  <si>
    <t xml:space="preserve">Vendas</t>
  </si>
  <si>
    <t xml:space="preserve">Oferta: organize as financas do seu negocio</t>
  </si>
  <si>
    <t xml:space="preserve">ORGANIZE SEU FINANCEIRO DE VEZ</t>
  </si>
  <si>
    <t xml:space="preserve">Apresente a transformacao e prova social</t>
  </si>
  <si>
    <t xml:space="preserve">Chama no direct</t>
  </si>
  <si>
    <t xml:space="preserve">#consultoria #negocios #resultado</t>
  </si>
  <si>
    <t xml:space="preserve">Voce e designer e redator de conteudo para Instagram no nicho de negocios e empreendedorismo, para donos de pequenos negocios e empreendedores iniciantes. Crie um POST DE IMAGEM UNICA na proporcao Retrato 4:5 sobre o tema "Oferta: organize as financas do seu negocio". Descreva a arte: fundo, paleta (use tons sobrios e profissionais), composicao e onde fica o texto. O texto principal em destaque na imagem deve ser: "ORGANIZE SEU FINANCEIRO DE VEZ". Mantenha legibilidade alta, pouco texto na arte e foco em um unico conceito. Pilar: Vendas. Em seguida, escreva a LEGENDA do post em portugues, com gancho na 1a linha, explicacao pratica com exemplo e o CTA: "Chama no direct". Finalize com as hashtags: #consultoria #negocios #resultado.</t>
  </si>
  <si>
    <t xml:space="preserve">Pro-labore x lucro</t>
  </si>
  <si>
    <t xml:space="preserve">VOCE ESTA SE PAGANDO ERRADO?</t>
  </si>
  <si>
    <t xml:space="preserve">Diferencie os conceitos</t>
  </si>
  <si>
    <t xml:space="preserve">Salve e revise sua retirada</t>
  </si>
  <si>
    <t xml:space="preserve">#prolabore #financas #empreendedor</t>
  </si>
  <si>
    <t xml:space="preserve">Voce e designer e redator de conteudo para Instagram no nicho de negocios e empreendedorismo, para donos de pequenos negocios e empreendedores iniciantes. Crie um POST DE IMAGEM UNICA na proporcao Quadrado 1:1 sobre o tema "Pro-labore x lucro". Descreva a arte: fundo, paleta (use tons sobrios e profissionais), composicao e onde fica o texto. O texto principal em destaque na imagem deve ser: "VOCE ESTA SE PAGANDO ERRADO?". Mantenha legibilidade alta, pouco texto na arte e foco em um unico conceito. Pilar: Educativo. Em seguida, escreva a LEGENDA do post em portugues, com gancho na 1a linha, explicacao pratica com exemplo e o CTA: "Salve e revise sua retirada". Finalize com as hashtags: #prolabore #financas #empreendedor.</t>
  </si>
  <si>
    <t xml:space="preserve">3 ferramentas gratuitas de gestao</t>
  </si>
  <si>
    <t xml:space="preserve">3 APPS GRATIS PRA GERIR SEU NEGOCIO</t>
  </si>
  <si>
    <t xml:space="preserve">Mostre os apps e o que cada um faz</t>
  </si>
  <si>
    <t xml:space="preserve">Comenta qual voce usa</t>
  </si>
  <si>
    <t xml:space="preserve">#ferramentas #produtividade #negocios</t>
  </si>
  <si>
    <t xml:space="preserve">Voce e designer e redator de conteudo para Instagram no nicho de negocios e empreendedorismo, para donos de pequenos negocios e empreendedores iniciantes. Crie um POST DE IMAGEM UNICA na proporcao Retrato 4:5 sobre o tema "3 ferramentas gratuitas de gestao". Descreva a arte: fundo, paleta (use tons sobrios e profissionais), composicao e onde fica o texto. O texto principal em destaque na imagem deve ser: "3 APPS GRATIS PRA GERIR SEU NEGOCIO". Mantenha legibilidade alta, pouco texto na arte e foco em um unico conceito. Pilar: Educativo. Em seguida, escreva a LEGENDA do post em portugues, com gancho na 1a linha, explicacao pratica com exemplo e o CTA: "Comenta qual voce usa". Finalize com as hashtags: #ferramentas #produtividade #negocios.</t>
  </si>
  <si>
    <t xml:space="preserve">Pergunta sobre dor do negocio</t>
  </si>
  <si>
    <t xml:space="preserve">QUAL SUA MAIOR DIFICULDADE HOJE?</t>
  </si>
  <si>
    <t xml:space="preserve">Convide a comentar a maior dor</t>
  </si>
  <si>
    <t xml:space="preserve">Comenta sua dificuldade</t>
  </si>
  <si>
    <t xml:space="preserve">#empreendedorismo #duvidas</t>
  </si>
  <si>
    <t xml:space="preserve">Voce e designer e redator de conteudo para Instagram no nicho de negocios e empreendedorismo, para donos de pequenos negocios e empreendedores iniciantes. Crie um POST DE IMAGEM UNICA na proporcao Quadrado 1:1 sobre o tema "Pergunta sobre dor do negocio". Descreva a arte: fundo, paleta (use tons sobrios e profissionais), composicao e onde fica o texto. O texto principal em destaque na imagem deve ser: "QUAL SUA MAIOR DIFICULDADE HOJE?". Mantenha legibilidade alta, pouco texto na arte e foco em um unico conceito. Pilar: Engajamento. Em seguida, escreva a LEGENDA do post em portugues, com gancho na 1a linha, explicacao pratica com exemplo e o CTA: "Comenta sua dificuldade". Finalize com as hashtags: #empreendedorismo #duvidas.</t>
  </si>
  <si>
    <t xml:space="preserve">Separar contas PF e PJ</t>
  </si>
  <si>
    <t xml:space="preserve">NUNCA MISTURE PESSOA FISICA E EMPRESA</t>
  </si>
  <si>
    <t xml:space="preserve">Passo a passo pra separar</t>
  </si>
  <si>
    <t xml:space="preserve">Salva esse guia</t>
  </si>
  <si>
    <t xml:space="preserve">#financas #gestao #mei</t>
  </si>
  <si>
    <t xml:space="preserve">Voce e designer e redator de conteudo para Instagram no nicho de negocios e empreendedorismo, para donos de pequenos negocios e empreendedores iniciantes. Crie um POST DE IMAGEM UNICA na proporcao Retrato 4:5 sobre o tema "Separar contas PF e PJ". Descreva a arte: fundo, paleta (use tons sobrios e profissionais), composicao e onde fica o texto. O texto principal em destaque na imagem deve ser: "NUNCA MISTURE PESSOA FISICA E EMPRESA". Mantenha legibilidade alta, pouco texto na arte e foco em um unico conceito. Pilar: Educativo. Em seguida, escreva a LEGENDA do post em portugues, com gancho na 1a linha, explicacao pratica com exemplo e o CTA: "Salva esse guia". Finalize com as hashtags: #financas #gestao #mei.</t>
  </si>
  <si>
    <t xml:space="preserve">O erro de margem</t>
  </si>
  <si>
    <t xml:space="preserve">MARGEM QUE PARECE LUCRO MAS NAO E</t>
  </si>
  <si>
    <t xml:space="preserve">Explique margem real vs aparente</t>
  </si>
  <si>
    <t xml:space="preserve">Comenta MARGEM</t>
  </si>
  <si>
    <t xml:space="preserve">#precificacao #lucro #negocios</t>
  </si>
  <si>
    <t xml:space="preserve">Voce e designer e redator de conteudo para Instagram no nicho de negocios e empreendedorismo, para donos de pequenos negocios e empreendedores iniciantes. Crie um POST DE IMAGEM UNICA na proporcao Quadrado 1:1 sobre o tema "O erro de margem". Descreva a arte: fundo, paleta (use tons sobrios e profissionais), composicao e onde fica o texto. O texto principal em destaque na imagem deve ser: "MARGEM QUE PARECE LUCRO MAS NAO E". Mantenha legibilidade alta, pouco texto na arte e foco em um unico conceito. Pilar: Educativo. Em seguida, escreva a LEGENDA do post em portugues, com gancho na 1a linha, explicacao pratica com exemplo e o CTA: "Comenta MARGEM". Finalize com as hashtags: #precificacao #lucro #negocios.</t>
  </si>
  <si>
    <t xml:space="preserve">Frase sobre habito e resultado</t>
  </si>
  <si>
    <t xml:space="preserve">SEUS RESULTADOS SAO REFLEXO DA SUA ROTINA</t>
  </si>
  <si>
    <t xml:space="preserve">Conte um habito que mudou o jogo</t>
  </si>
  <si>
    <t xml:space="preserve">Qual habito voce vai comecar?</t>
  </si>
  <si>
    <t xml:space="preserve">#rotina #produtividade #empreender</t>
  </si>
  <si>
    <t xml:space="preserve">Voce e designer e redator de conteudo para Instagram no nicho de negocios e empreendedorismo, para donos de pequenos negocios e empreendedores iniciantes. Crie um POST DE IMAGEM UNICA na proporcao Retrato 4:5 sobre o tema "Frase sobre habito e resultado". Descreva a arte: fundo, paleta (use tons sobrios e profissionais), composicao e onde fica o texto. O texto principal em destaque na imagem deve ser: "SEUS RESULTADOS SAO REFLEXO DA SUA ROTINA". Mantenha legibilidade alta, pouco texto na arte e foco em um unico conceito. Pilar: Inspiracao. Em seguida, escreva a LEGENDA do post em portugues, com gancho na 1a linha, explicacao pratica com exemplo e o CTA: "Qual habito voce vai comecar?". Finalize com as hashtags: #rotina #produtividade #empreender.</t>
  </si>
  <si>
    <t xml:space="preserve">Planejamento financeiro do zero</t>
  </si>
  <si>
    <t xml:space="preserve">PLANEJAMENTO FINANCEIRO EM 4 PASSOS</t>
  </si>
  <si>
    <t xml:space="preserve">Mostre os 4 primeiros passos</t>
  </si>
  <si>
    <t xml:space="preserve">Salve pra comecar hoje</t>
  </si>
  <si>
    <t xml:space="preserve">#planejamento #financas #negocios</t>
  </si>
  <si>
    <t xml:space="preserve">Voce e designer e redator de conteudo para Instagram no nicho de negocios e empreendedorismo, para donos de pequenos negocios e empreendedores iniciantes. Crie um POST DE IMAGEM UNICA na proporcao Quadrado 1:1 sobre o tema "Planejamento financeiro do zero". Descreva a arte: fundo, paleta (use tons sobrios e profissionais), composicao e onde fica o texto. O texto principal em destaque na imagem deve ser: "PLANEJAMENTO FINANCEIRO EM 4 PASSOS". Mantenha legibilidade alta, pouco texto na arte e foco em um unico conceito. Pilar: Educativo. Em seguida, escreva a LEGENDA do post em portugues, com gancho na 1a linha, explicacao pratica com exemplo e o CTA: "Salve pra comecar hoje". Finalize com as hashtags: #planejamento #financas #negocios.</t>
  </si>
  <si>
    <t xml:space="preserve">Ticket medio</t>
  </si>
  <si>
    <t xml:space="preserve">AUMENTE O TICKET, NAO O ESFORCO</t>
  </si>
  <si>
    <t xml:space="preserve">Explique como crescer sem mais clientes</t>
  </si>
  <si>
    <t xml:space="preserve">Comenta TICKET</t>
  </si>
  <si>
    <t xml:space="preserve">#vendas #faturamento #negocios</t>
  </si>
  <si>
    <t xml:space="preserve">Voce e designer e redator de conteudo para Instagram no nicho de negocios e empreendedorismo, para donos de pequenos negocios e empreendedores iniciantes. Crie um POST DE IMAGEM UNICA na proporcao Retrato 4:5 sobre o tema "Ticket medio". Descreva a arte: fundo, paleta (use tons sobrios e profissionais), composicao e onde fica o texto. O texto principal em destaque na imagem deve ser: "AUMENTE O TICKET, NAO O ESFORCO". Mantenha legibilidade alta, pouco texto na arte e foco em um unico conceito. Pilar: Educativo. Em seguida, escreva a LEGENDA do post em portugues, com gancho na 1a linha, explicacao pratica com exemplo e o CTA: "Comenta TICKET". Finalize com as hashtags: #vendas #faturamento #negocios.</t>
  </si>
  <si>
    <t xml:space="preserve">Mito: faturamento e lucro</t>
  </si>
  <si>
    <t xml:space="preserve">FATURAMENTO ALTO NAO E LUCRO ALTO</t>
  </si>
  <si>
    <t xml:space="preserve">Pergunte se concordam e explique</t>
  </si>
  <si>
    <t xml:space="preserve">Verdadeiro ou falso? Comenta</t>
  </si>
  <si>
    <t xml:space="preserve">#financas #mitos</t>
  </si>
  <si>
    <t xml:space="preserve">Voce e designer e redator de conteudo para Instagram no nicho de negocios e empreendedorismo, para donos de pequenos negocios e empreendedores iniciantes. Crie um POST DE IMAGEM UNICA na proporcao Quadrado 1:1 sobre o tema "Mito: faturamento e lucro". Descreva a arte: fundo, paleta (use tons sobrios e profissionais), composicao e onde fica o texto. O texto principal em destaque na imagem deve ser: "FATURAMENTO ALTO NAO E LUCRO ALTO". Mantenha legibilidade alta, pouco texto na arte e foco em um unico conceito. Pilar: Engajamento. Em seguida, escreva a LEGENDA do post em portugues, com gancho na 1a linha, explicacao pratica com exemplo e o CTA: "Verdadeiro ou falso? Comenta". Finalize com as hashtags: #financas #mitos.</t>
  </si>
  <si>
    <t xml:space="preserve">Precificar servicos</t>
  </si>
  <si>
    <t xml:space="preserve">COMO COBRAR PELO SEU TEMPO</t>
  </si>
  <si>
    <t xml:space="preserve">Mostre como valorizar expertise</t>
  </si>
  <si>
    <t xml:space="preserve">Salva pra cobrar o justo</t>
  </si>
  <si>
    <t xml:space="preserve">#servicos #precificacao #empreender</t>
  </si>
  <si>
    <t xml:space="preserve">Voce e designer e redator de conteudo para Instagram no nicho de negocios e empreendedorismo, para donos de pequenos negocios e empreendedores iniciantes. Crie um POST DE IMAGEM UNICA na proporcao Retrato 4:5 sobre o tema "Precificar servicos". Descreva a arte: fundo, paleta (use tons sobrios e profissionais), composicao e onde fica o texto. O texto principal em destaque na imagem deve ser: "COMO COBRAR PELO SEU TEMPO". Mantenha legibilidade alta, pouco texto na arte e foco em um unico conceito. Pilar: Educativo. Em seguida, escreva a LEGENDA do post em portugues, com gancho na 1a linha, explicacao pratica com exemplo e o CTA: "Salva pra cobrar o justo". Finalize com as hashtags: #servicos #precificacao #empreender.</t>
  </si>
  <si>
    <t xml:space="preserve">Prova social / depoimento</t>
  </si>
  <si>
    <t xml:space="preserve">DE CAOS A CONTROLE FINANCEIRO</t>
  </si>
  <si>
    <t xml:space="preserve">Mostre resultado de um cliente</t>
  </si>
  <si>
    <t xml:space="preserve">Quer esse resultado? Direct</t>
  </si>
  <si>
    <t xml:space="preserve">#resultado #depoimento #consultoria</t>
  </si>
  <si>
    <t xml:space="preserve">Voce e designer e redator de conteudo para Instagram no nicho de negocios e empreendedorismo, para donos de pequenos negocios e empreendedores iniciantes. Crie um POST DE IMAGEM UNICA na proporcao Quadrado 1:1 sobre o tema "Prova social / depoimento". Descreva a arte: fundo, paleta (use tons sobrios e profissionais), composicao e onde fica o texto. O texto principal em destaque na imagem deve ser: "DE CAOS A CONTROLE FINANCEIRO". Mantenha legibilidade alta, pouco texto na arte e foco em um unico conceito. Pilar: Vendas. Em seguida, escreva a LEGENDA do post em portugues, com gancho na 1a linha, explicacao pratica com exemplo e o CTA: "Quer esse resultado? Direct". Finalize com as hashtags: #resultado #depoimento #consultoria.</t>
  </si>
  <si>
    <t xml:space="preserve">Reserva de emergencia do negocio</t>
  </si>
  <si>
    <t xml:space="preserve">QUANTO GUARDAR DE RESERVA?</t>
  </si>
  <si>
    <t xml:space="preserve">Explique a regra pratica</t>
  </si>
  <si>
    <t xml:space="preserve">Salva e comece a guardar</t>
  </si>
  <si>
    <t xml:space="preserve">#reserva #financas #gestao</t>
  </si>
  <si>
    <t xml:space="preserve">Voce e designer e redator de conteudo para Instagram no nicho de negocios e empreendedorismo, para donos de pequenos negocios e empreendedores iniciantes. Crie um POST DE IMAGEM UNICA na proporcao Retrato 4:5 sobre o tema "Reserva de emergencia do negocio". Descreva a arte: fundo, paleta (use tons sobrios e profissionais), composicao e onde fica o texto. O texto principal em destaque na imagem deve ser: "QUANTO GUARDAR DE RESERVA?". Mantenha legibilidade alta, pouco texto na arte e foco em um unico conceito. Pilar: Educativo. Em seguida, escreva a LEGENDA do post em portugues, com gancho na 1a linha, explicacao pratica com exemplo e o CTA: "Salva e comece a guardar". Finalize com as hashtags: #reserva #financas #gestao.</t>
  </si>
  <si>
    <t xml:space="preserve">Quando aumentar precos</t>
  </si>
  <si>
    <t xml:space="preserve">3 SINAIS PRA AUMENTAR SEU PRECO</t>
  </si>
  <si>
    <t xml:space="preserve">Liste os gatilhos</t>
  </si>
  <si>
    <t xml:space="preserve">#precificacao #negocios #lucro</t>
  </si>
  <si>
    <t xml:space="preserve">Voce e designer e redator de conteudo para Instagram no nicho de negocios e empreendedorismo, para donos de pequenos negocios e empreendedores iniciantes. Crie um POST DE IMAGEM UNICA na proporcao Quadrado 1:1 sobre o tema "Quando aumentar precos". Descreva a arte: fundo, paleta (use tons sobrios e profissionais), composicao e onde fica o texto. O texto principal em destaque na imagem deve ser: "3 SINAIS PRA AUMENTAR SEU PRECO". Mantenha legibilidade alta, pouco texto na arte e foco em um unico conceito. Pilar: Educativo. Em seguida, escreva a LEGENDA do post em portugues, com gancho na 1a linha, explicacao pratica com exemplo e o CTA: "Comenta PRECO". Finalize com as hashtags: #precificacao #negocios #lucro.</t>
  </si>
  <si>
    <t xml:space="preserve">Frase de aprendizado</t>
  </si>
  <si>
    <t xml:space="preserve">SE EU COMECASSE HOJE, FARIA DIFERENTE</t>
  </si>
  <si>
    <t xml:space="preserve">Compartilhe aprendizados sinceros</t>
  </si>
  <si>
    <t xml:space="preserve">Comenta o que voce faria</t>
  </si>
  <si>
    <t xml:space="preserve">#empreendedorismo #aprendizado</t>
  </si>
  <si>
    <t xml:space="preserve">Voce e designer e redator de conteudo para Instagram no nicho de negocios e empreendedorismo, para donos de pequenos negocios e empreendedores iniciantes. Crie um POST DE IMAGEM UNICA na proporcao Retrato 4:5 sobre o tema "Frase de aprendizado". Descreva a arte: fundo, paleta (use tons sobrios e profissionais), composicao e onde fica o texto. O texto principal em destaque na imagem deve ser: "SE EU COMECASSE HOJE, FARIA DIFERENTE". Mantenha legibilidade alta, pouco texto na arte e foco em um unico conceito. Pilar: Inspiracao. Em seguida, escreva a LEGENDA do post em portugues, com gancho na 1a linha, explicacao pratica com exemplo e o CTA: "Comenta o que voce faria". Finalize com as hashtags: #empreendedorismo #aprendizado.</t>
  </si>
  <si>
    <t xml:space="preserve">DRE simples</t>
  </si>
  <si>
    <t xml:space="preserve">ENTENDA SEU DRE EM 1 IMAGEM</t>
  </si>
  <si>
    <t xml:space="preserve">Explique receita, custo, despesa e lucro</t>
  </si>
  <si>
    <t xml:space="preserve">Salva esse mini guia</t>
  </si>
  <si>
    <t xml:space="preserve">#dre #financas #gestao</t>
  </si>
  <si>
    <t xml:space="preserve">Voce e designer e redator de conteudo para Instagram no nicho de negocios e empreendedorismo, para donos de pequenos negocios e empreendedores iniciantes. Crie um POST DE IMAGEM UNICA na proporcao Quadrado 1:1 sobre o tema "DRE simples". Descreva a arte: fundo, paleta (use tons sobrios e profissionais), composicao e onde fica o texto. O texto principal em destaque na imagem deve ser: "ENTENDA SEU DRE EM 1 IMAGEM". Mantenha legibilidade alta, pouco texto na arte e foco em um unico conceito. Pilar: Educativo. Em seguida, escreva a LEGENDA do post em portugues, com gancho na 1a linha, explicacao pratica com exemplo e o CTA: "Salva esse mini guia". Finalize com as hashtags: #dre #financas #gestao.</t>
  </si>
  <si>
    <t xml:space="preserve">Custos invisiveis</t>
  </si>
  <si>
    <t xml:space="preserve">O CUSTO INVISIVEL QUE COME SEU LUCRO</t>
  </si>
  <si>
    <t xml:space="preserve">Fale de custos fixos esquecidos</t>
  </si>
  <si>
    <t xml:space="preserve">Comenta CUSTO</t>
  </si>
  <si>
    <t xml:space="preserve">#custos #lucro #negocios</t>
  </si>
  <si>
    <t xml:space="preserve">Voce e designer e redator de conteudo para Instagram no nicho de negocios e empreendedorismo, para donos de pequenos negocios e empreendedores iniciantes. Crie um POST DE IMAGEM UNICA na proporcao Retrato 4:5 sobre o tema "Custos invisiveis". Descreva a arte: fundo, paleta (use tons sobrios e profissionais), composicao e onde fica o texto. O texto principal em destaque na imagem deve ser: "O CUSTO INVISIVEL QUE COME SEU LUCRO". Mantenha legibilidade alta, pouco texto na arte e foco em um unico conceito. Pilar: Educativo. Em seguida, escreva a LEGENDA do post em portugues, com gancho na 1a linha, explicacao pratica com exemplo e o CTA: "Comenta CUSTO". Finalize com as hashtags: #custos #lucro #negocios.</t>
  </si>
  <si>
    <t xml:space="preserve">Rotina de numeros</t>
  </si>
  <si>
    <t xml:space="preserve">VOCE OLHA SEUS NUMEROS QUANDO?</t>
  </si>
  <si>
    <t xml:space="preserve">Pergunte a frequencia e ensine</t>
  </si>
  <si>
    <t xml:space="preserve">Vota nos comentarios</t>
  </si>
  <si>
    <t xml:space="preserve">#financas #rotina</t>
  </si>
  <si>
    <t xml:space="preserve">Voce e designer e redator de conteudo para Instagram no nicho de negocios e empreendedorismo, para donos de pequenos negocios e empreendedores iniciantes. Crie um POST DE IMAGEM UNICA na proporcao Quadrado 1:1 sobre o tema "Rotina de numeros". Descreva a arte: fundo, paleta (use tons sobrios e profissionais), composicao e onde fica o texto. O texto principal em destaque na imagem deve ser: "VOCE OLHA SEUS NUMEROS QUANDO?". Mantenha legibilidade alta, pouco texto na arte e foco em um unico conceito. Pilar: Engajamento. Em seguida, escreva a LEGENDA do post em portugues, com gancho na 1a linha, explicacao pratica com exemplo e o CTA: "Vota nos comentarios". Finalize com as hashtags: #financas #rotina.</t>
  </si>
  <si>
    <t xml:space="preserve">Metas que funcionam</t>
  </si>
  <si>
    <t xml:space="preserve">METAS SMART PRA SEU NEGOCIO</t>
  </si>
  <si>
    <t xml:space="preserve">Ensine o metodo aplicado</t>
  </si>
  <si>
    <t xml:space="preserve">Salva pra montar as suas</t>
  </si>
  <si>
    <t xml:space="preserve">#metas #planejamento #negocios</t>
  </si>
  <si>
    <t xml:space="preserve">Voce e designer e redator de conteudo para Instagram no nicho de negocios e empreendedorismo, para donos de pequenos negocios e empreendedores iniciantes. Crie um POST DE IMAGEM UNICA na proporcao Retrato 4:5 sobre o tema "Metas que funcionam". Descreva a arte: fundo, paleta (use tons sobrios e profissionais), composicao e onde fica o texto. O texto principal em destaque na imagem deve ser: "METAS SMART PRA SEU NEGOCIO". Mantenha legibilidade alta, pouco texto na arte e foco em um unico conceito. Pilar: Educativo. Em seguida, escreva a LEGENDA do post em portugues, com gancho na 1a linha, explicacao pratica com exemplo e o CTA: "Salva pra montar as suas". Finalize com as hashtags: #metas #planejamento #negocios.</t>
  </si>
  <si>
    <t xml:space="preserve">Cobranca de inadimplentes</t>
  </si>
  <si>
    <t xml:space="preserve">COMO COBRAR SEM CONSTRANGER</t>
  </si>
  <si>
    <t xml:space="preserve">De um roteiro educado e firme</t>
  </si>
  <si>
    <t xml:space="preserve">Comenta COBRANCA</t>
  </si>
  <si>
    <t xml:space="preserve">#cobranca #financas #negocios</t>
  </si>
  <si>
    <t xml:space="preserve">Voce e designer e redator de conteudo para Instagram no nicho de negocios e empreendedorismo, para donos de pequenos negocios e empreendedores iniciantes. Crie um POST DE IMAGEM UNICA na proporcao Quadrado 1:1 sobre o tema "Cobranca de inadimplentes". Descreva a arte: fundo, paleta (use tons sobrios e profissionais), composicao e onde fica o texto. O texto principal em destaque na imagem deve ser: "COMO COBRAR SEM CONSTRANGER". Mantenha legibilidade alta, pouco texto na arte e foco em um unico conceito. Pilar: Educativo. Em seguida, escreva a LEGENDA do post em portugues, com gancho na 1a linha, explicacao pratica com exemplo e o CTA: "Comenta COBRANCA". Finalize com as hashtags: #cobranca #financas #negocios.</t>
  </si>
  <si>
    <t xml:space="preserve">Vagas abertas mentoria</t>
  </si>
  <si>
    <t xml:space="preserve">VAGAS ABERTAS: ORGANIZE SEU NEGOCIO</t>
  </si>
  <si>
    <t xml:space="preserve">Apresente oferta, bonus e escassez</t>
  </si>
  <si>
    <t xml:space="preserve">Garanta sua vaga no link</t>
  </si>
  <si>
    <t xml:space="preserve">#mentoria #consultoria #negocios</t>
  </si>
  <si>
    <t xml:space="preserve">Voce e designer e redator de conteudo para Instagram no nicho de negocios e empreendedorismo, para donos de pequenos negocios e empreendedores iniciantes. Crie um POST DE IMAGEM UNICA na proporcao Retrato 4:5 sobre o tema "Vagas abertas mentoria". Descreva a arte: fundo, paleta (use tons sobrios e profissionais), composicao e onde fica o texto. O texto principal em destaque na imagem deve ser: "VAGAS ABERTAS: ORGANIZE SEU NEGOCIO". Mantenha legibilidade alta, pouco texto na arte e foco em um unico conceito. Pilar: Vendas. Em seguida, escreva a LEGENDA do post em portugues, com gancho na 1a linha, explicacao pratica com exemplo e o CTA: "Garanta sua vaga no link". Finalize com as hashtags: #mentoria #consultoria #negocios.</t>
  </si>
  <si>
    <t xml:space="preserve">Relatorios mensais</t>
  </si>
  <si>
    <t xml:space="preserve">5 RELATORIOS PRA GERAR TODO MES</t>
  </si>
  <si>
    <t xml:space="preserve">Liste e explique cada um</t>
  </si>
  <si>
    <t xml:space="preserve">Salva esse checklist</t>
  </si>
  <si>
    <t xml:space="preserve">#relatorios #gestao #financas</t>
  </si>
  <si>
    <t xml:space="preserve">Voce e designer e redator de conteudo para Instagram no nicho de negocios e empreendedorismo, para donos de pequenos negocios e empreendedores iniciantes. Crie um POST DE IMAGEM UNICA na proporcao Quadrado 1:1 sobre o tema "Relatorios mensais". Descreva a arte: fundo, paleta (use tons sobrios e profissionais), composicao e onde fica o texto. O texto principal em destaque na imagem deve ser: "5 RELATORIOS PRA GERAR TODO MES". Mantenha legibilidade alta, pouco texto na arte e foco em um unico conceito. Pilar: Educativo. Em seguida, escreva a LEGENDA do post em portugues, com gancho na 1a linha, explicacao pratica com exemplo e o CTA: "Salva esse checklist". Finalize com as hashtags: #relatorios #gestao #financas.</t>
  </si>
  <si>
    <t xml:space="preserve">Projecao de faturamento</t>
  </si>
  <si>
    <t xml:space="preserve">COMO PREVER O FATURAMENTO DO MES</t>
  </si>
  <si>
    <t xml:space="preserve">Mostre um metodo simples</t>
  </si>
  <si>
    <t xml:space="preserve">Comenta PROJECAO</t>
  </si>
  <si>
    <t xml:space="preserve">#planejamento #faturamento #negocios</t>
  </si>
  <si>
    <t xml:space="preserve">Voce e designer e redator de conteudo para Instagram no nicho de negocios e empreendedorismo, para donos de pequenos negocios e empreendedores iniciantes. Crie um POST DE IMAGEM UNICA na proporcao Retrato 4:5 sobre o tema "Projecao de faturamento". Descreva a arte: fundo, paleta (use tons sobrios e profissionais), composicao e onde fica o texto. O texto principal em destaque na imagem deve ser: "COMO PREVER O FATURAMENTO DO MES". Mantenha legibilidade alta, pouco texto na arte e foco em um unico conceito. Pilar: Educativo. Em seguida, escreva a LEGENDA do post em portugues, com gancho na 1a linha, explicacao pratica com exemplo e o CTA: "Comenta PROJECAO". Finalize com as hashtags: #planejamento #faturamento #negocios.</t>
  </si>
  <si>
    <t xml:space="preserve">Recap do mes</t>
  </si>
  <si>
    <t xml:space="preserve">O QUE VOCE APRENDEU ESTE MES?</t>
  </si>
  <si>
    <t xml:space="preserve">Resuma os ensinamentos e agradeca</t>
  </si>
  <si>
    <t xml:space="preserve">Qual post te ajudou mais?</t>
  </si>
  <si>
    <t xml:space="preserve">#empreendedorismo #gratidao</t>
  </si>
  <si>
    <t xml:space="preserve">Voce e designer e redator de conteudo para Instagram no nicho de negocios e empreendedorismo, para donos de pequenos negocios e empreendedores iniciantes. Crie um POST DE IMAGEM UNICA na proporcao Quadrado 1:1 sobre o tema "Recap do mes". Descreva a arte: fundo, paleta (use tons sobrios e profissionais), composicao e onde fica o texto. O texto principal em destaque na imagem deve ser: "O QUE VOCE APRENDEU ESTE MES?". Mantenha legibilidade alta, pouco texto na arte e foco em um unico conceito. Pilar: Inspiracao. Em seguida, escreva a LEGENDA do post em portugues, com gancho na 1a linha, explicacao pratica com exemplo e o CTA: "Qual post te ajudou mais?". Finalize com as hashtags: #empreendedorismo #gratidao.</t>
  </si>
  <si>
    <t xml:space="preserve">RESUMO E INSTRUCOES</t>
  </si>
  <si>
    <t xml:space="preserve">Distribuicao por pilar</t>
  </si>
  <si>
    <t xml:space="preserve">Pilar</t>
  </si>
  <si>
    <t xml:space="preserve">Qtd</t>
  </si>
  <si>
    <t xml:space="preserve">Cor</t>
  </si>
  <si>
    <t xml:space="preserve">Total</t>
  </si>
  <si>
    <t xml:space="preserve">Progresso</t>
  </si>
  <si>
    <t xml:space="preserve">Postagens feitas</t>
  </si>
  <si>
    <t xml:space="preserve">Total de postagens</t>
  </si>
  <si>
    <t xml:space="preserve">% concluido</t>
  </si>
  <si>
    <t xml:space="preserve">Como usar:</t>
  </si>
  <si>
    <t xml:space="preserve">1) Marque a coluna Postado? como Sim quando publicar - a linha fica verde automaticamente.</t>
  </si>
  <si>
    <t xml:space="preserve">2) Coluna Texto na imagem: e a frase que vai escrita na arte do post.</t>
  </si>
  <si>
    <t xml:space="preserve">3) Coluna Prompt (IA): copie e cole no ChatGPT/Claude/Gemini (ou gerador de imagem) para criar a arte e a legenda.</t>
  </si>
  <si>
    <t xml:space="preserve">4) Proporcao: 1:1 (quadrado) ou 4:5 (retrato), os formatos que mais aparecem no feed.</t>
  </si>
  <si>
    <t xml:space="preserve">5) No Google Sheets troque Sim/Nao por caixinha real: selecione a coluna M e va em Inserir &gt; Caixa de selecao.</t>
  </si>
  <si>
    <t xml:space="preserve">6) Para importar: Google Sheets &gt; Arquivo &gt; Importar &gt; Enviar este arquivo .xlsx.</t>
  </si>
  <si>
    <t xml:space="preserve">Plano: 1 post por dia (30 dias), so imagens. Maioria educativo, mais engajamento, vendas e inspiracao.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</si>
</sst>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5B2C8D"/>
        <bgColor rgb="FF660066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B2C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30"/>
    <col collapsed="false" customWidth="true" hidden="false" outlineLevel="0" max="8" min="8" style="0" width="26"/>
    <col collapsed="false" customWidth="true" hidden="false" outlineLevel="0" max="9" min="9" style="0" width="34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2" min="12" style="0" width="62"/>
    <col collapsed="false" customWidth="true" hidden="false" outlineLevel="0" max="13" min="13" style="0" width="10"/>
    <col collapsed="false" customWidth="true" hidden="false" outlineLevel="0" max="14" min="14" style="0" width="1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customFormat="false" ht="63.75" hidden="false" customHeight="true" outlineLevel="0" collapsed="false">
      <c r="A3" s="3" t="n">
        <v>1</v>
      </c>
      <c r="B3" s="4" t="n">
        <v>46196</v>
      </c>
      <c r="C3" s="3" t="s">
        <v>15</v>
      </c>
      <c r="D3" s="3" t="s">
        <v>16</v>
      </c>
      <c r="E3" s="5" t="s">
        <v>17</v>
      </c>
      <c r="F3" s="3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23</v>
      </c>
      <c r="L3" s="6" t="s">
        <v>24</v>
      </c>
      <c r="M3" s="3" t="s">
        <v>25</v>
      </c>
      <c r="N3" s="6"/>
    </row>
    <row r="4" customFormat="false" ht="63.75" hidden="false" customHeight="true" outlineLevel="0" collapsed="false">
      <c r="A4" s="3" t="n">
        <v>2</v>
      </c>
      <c r="B4" s="4" t="n">
        <v>46197</v>
      </c>
      <c r="C4" s="3" t="s">
        <v>26</v>
      </c>
      <c r="D4" s="3" t="s">
        <v>16</v>
      </c>
      <c r="E4" s="5" t="s">
        <v>17</v>
      </c>
      <c r="F4" s="3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  <c r="L4" s="6" t="s">
        <v>33</v>
      </c>
      <c r="M4" s="3" t="s">
        <v>25</v>
      </c>
      <c r="N4" s="6"/>
    </row>
    <row r="5" customFormat="false" ht="63.75" hidden="false" customHeight="true" outlineLevel="0" collapsed="false">
      <c r="A5" s="3" t="n">
        <v>3</v>
      </c>
      <c r="B5" s="4" t="n">
        <v>46198</v>
      </c>
      <c r="C5" s="3" t="s">
        <v>34</v>
      </c>
      <c r="D5" s="3" t="s">
        <v>16</v>
      </c>
      <c r="E5" s="7" t="s">
        <v>35</v>
      </c>
      <c r="F5" s="3" t="s">
        <v>27</v>
      </c>
      <c r="G5" s="6" t="s">
        <v>36</v>
      </c>
      <c r="H5" s="6" t="s">
        <v>37</v>
      </c>
      <c r="I5" s="6" t="s">
        <v>38</v>
      </c>
      <c r="J5" s="6" t="s">
        <v>39</v>
      </c>
      <c r="K5" s="6" t="s">
        <v>40</v>
      </c>
      <c r="L5" s="6" t="s">
        <v>41</v>
      </c>
      <c r="M5" s="3" t="s">
        <v>25</v>
      </c>
      <c r="N5" s="6"/>
    </row>
    <row r="6" customFormat="false" ht="63.75" hidden="false" customHeight="true" outlineLevel="0" collapsed="false">
      <c r="A6" s="3" t="n">
        <v>4</v>
      </c>
      <c r="B6" s="4" t="n">
        <v>46199</v>
      </c>
      <c r="C6" s="3" t="s">
        <v>42</v>
      </c>
      <c r="D6" s="3" t="s">
        <v>16</v>
      </c>
      <c r="E6" s="5" t="s">
        <v>17</v>
      </c>
      <c r="F6" s="3" t="s">
        <v>18</v>
      </c>
      <c r="G6" s="6" t="s">
        <v>43</v>
      </c>
      <c r="H6" s="6" t="s">
        <v>44</v>
      </c>
      <c r="I6" s="6" t="s">
        <v>45</v>
      </c>
      <c r="J6" s="6" t="s">
        <v>46</v>
      </c>
      <c r="K6" s="6" t="s">
        <v>47</v>
      </c>
      <c r="L6" s="6" t="s">
        <v>48</v>
      </c>
      <c r="M6" s="3" t="s">
        <v>25</v>
      </c>
      <c r="N6" s="6"/>
    </row>
    <row r="7" customFormat="false" ht="63.75" hidden="false" customHeight="true" outlineLevel="0" collapsed="false">
      <c r="A7" s="3" t="n">
        <v>5</v>
      </c>
      <c r="B7" s="4" t="n">
        <v>46200</v>
      </c>
      <c r="C7" s="3" t="s">
        <v>49</v>
      </c>
      <c r="D7" s="3" t="s">
        <v>16</v>
      </c>
      <c r="E7" s="5" t="s">
        <v>17</v>
      </c>
      <c r="F7" s="3" t="s">
        <v>27</v>
      </c>
      <c r="G7" s="6" t="s">
        <v>50</v>
      </c>
      <c r="H7" s="6" t="s">
        <v>51</v>
      </c>
      <c r="I7" s="6" t="s">
        <v>52</v>
      </c>
      <c r="J7" s="6" t="s">
        <v>53</v>
      </c>
      <c r="K7" s="6" t="s">
        <v>54</v>
      </c>
      <c r="L7" s="6" t="s">
        <v>55</v>
      </c>
      <c r="M7" s="3" t="s">
        <v>25</v>
      </c>
      <c r="N7" s="6"/>
    </row>
    <row r="8" customFormat="false" ht="63.75" hidden="false" customHeight="true" outlineLevel="0" collapsed="false">
      <c r="A8" s="3" t="n">
        <v>6</v>
      </c>
      <c r="B8" s="4" t="n">
        <v>46201</v>
      </c>
      <c r="C8" s="3" t="s">
        <v>56</v>
      </c>
      <c r="D8" s="3" t="s">
        <v>16</v>
      </c>
      <c r="E8" s="8" t="s">
        <v>57</v>
      </c>
      <c r="F8" s="3" t="s">
        <v>18</v>
      </c>
      <c r="G8" s="6" t="s">
        <v>58</v>
      </c>
      <c r="H8" s="6" t="s">
        <v>59</v>
      </c>
      <c r="I8" s="6" t="s">
        <v>60</v>
      </c>
      <c r="J8" s="6" t="s">
        <v>61</v>
      </c>
      <c r="K8" s="6" t="s">
        <v>62</v>
      </c>
      <c r="L8" s="6" t="s">
        <v>63</v>
      </c>
      <c r="M8" s="3" t="s">
        <v>25</v>
      </c>
      <c r="N8" s="6"/>
    </row>
    <row r="9" customFormat="false" ht="63.75" hidden="false" customHeight="true" outlineLevel="0" collapsed="false">
      <c r="A9" s="3" t="n">
        <v>7</v>
      </c>
      <c r="B9" s="4" t="n">
        <v>46202</v>
      </c>
      <c r="C9" s="3" t="s">
        <v>64</v>
      </c>
      <c r="D9" s="3" t="s">
        <v>16</v>
      </c>
      <c r="E9" s="9" t="s">
        <v>65</v>
      </c>
      <c r="F9" s="3" t="s">
        <v>18</v>
      </c>
      <c r="G9" s="6" t="s">
        <v>66</v>
      </c>
      <c r="H9" s="6" t="s">
        <v>67</v>
      </c>
      <c r="I9" s="6" t="s">
        <v>68</v>
      </c>
      <c r="J9" s="6" t="s">
        <v>69</v>
      </c>
      <c r="K9" s="6" t="s">
        <v>70</v>
      </c>
      <c r="L9" s="6" t="s">
        <v>71</v>
      </c>
      <c r="M9" s="3" t="s">
        <v>25</v>
      </c>
      <c r="N9" s="6"/>
    </row>
    <row r="10" customFormat="false" ht="63.75" hidden="false" customHeight="true" outlineLevel="0" collapsed="false">
      <c r="A10" s="3" t="n">
        <v>8</v>
      </c>
      <c r="B10" s="4" t="n">
        <v>46203</v>
      </c>
      <c r="C10" s="3" t="s">
        <v>15</v>
      </c>
      <c r="D10" s="3" t="s">
        <v>16</v>
      </c>
      <c r="E10" s="5" t="s">
        <v>17</v>
      </c>
      <c r="F10" s="3" t="s">
        <v>27</v>
      </c>
      <c r="G10" s="6" t="s">
        <v>72</v>
      </c>
      <c r="H10" s="6" t="s">
        <v>73</v>
      </c>
      <c r="I10" s="6" t="s">
        <v>74</v>
      </c>
      <c r="J10" s="6" t="s">
        <v>75</v>
      </c>
      <c r="K10" s="6" t="s">
        <v>76</v>
      </c>
      <c r="L10" s="6" t="s">
        <v>77</v>
      </c>
      <c r="M10" s="3" t="s">
        <v>25</v>
      </c>
      <c r="N10" s="6"/>
    </row>
    <row r="11" customFormat="false" ht="63.75" hidden="false" customHeight="true" outlineLevel="0" collapsed="false">
      <c r="A11" s="3" t="n">
        <v>9</v>
      </c>
      <c r="B11" s="4" t="n">
        <v>46204</v>
      </c>
      <c r="C11" s="3" t="s">
        <v>26</v>
      </c>
      <c r="D11" s="3" t="s">
        <v>16</v>
      </c>
      <c r="E11" s="5" t="s">
        <v>17</v>
      </c>
      <c r="F11" s="3" t="s">
        <v>18</v>
      </c>
      <c r="G11" s="6" t="s">
        <v>78</v>
      </c>
      <c r="H11" s="6" t="s">
        <v>79</v>
      </c>
      <c r="I11" s="6" t="s">
        <v>80</v>
      </c>
      <c r="J11" s="6" t="s">
        <v>81</v>
      </c>
      <c r="K11" s="6" t="s">
        <v>82</v>
      </c>
      <c r="L11" s="6" t="s">
        <v>83</v>
      </c>
      <c r="M11" s="3" t="s">
        <v>25</v>
      </c>
      <c r="N11" s="6"/>
    </row>
    <row r="12" customFormat="false" ht="63.75" hidden="false" customHeight="true" outlineLevel="0" collapsed="false">
      <c r="A12" s="3" t="n">
        <v>10</v>
      </c>
      <c r="B12" s="4" t="n">
        <v>46205</v>
      </c>
      <c r="C12" s="3" t="s">
        <v>34</v>
      </c>
      <c r="D12" s="3" t="s">
        <v>16</v>
      </c>
      <c r="E12" s="7" t="s">
        <v>35</v>
      </c>
      <c r="F12" s="3" t="s">
        <v>27</v>
      </c>
      <c r="G12" s="6" t="s">
        <v>84</v>
      </c>
      <c r="H12" s="6" t="s">
        <v>85</v>
      </c>
      <c r="I12" s="6" t="s">
        <v>86</v>
      </c>
      <c r="J12" s="6" t="s">
        <v>87</v>
      </c>
      <c r="K12" s="6" t="s">
        <v>88</v>
      </c>
      <c r="L12" s="6" t="s">
        <v>89</v>
      </c>
      <c r="M12" s="3" t="s">
        <v>25</v>
      </c>
      <c r="N12" s="6"/>
    </row>
    <row r="13" customFormat="false" ht="63.75" hidden="false" customHeight="true" outlineLevel="0" collapsed="false">
      <c r="A13" s="3" t="n">
        <v>11</v>
      </c>
      <c r="B13" s="4" t="n">
        <v>46206</v>
      </c>
      <c r="C13" s="3" t="s">
        <v>42</v>
      </c>
      <c r="D13" s="3" t="s">
        <v>16</v>
      </c>
      <c r="E13" s="5" t="s">
        <v>17</v>
      </c>
      <c r="F13" s="3" t="s">
        <v>18</v>
      </c>
      <c r="G13" s="6" t="s">
        <v>90</v>
      </c>
      <c r="H13" s="6" t="s">
        <v>91</v>
      </c>
      <c r="I13" s="6" t="s">
        <v>92</v>
      </c>
      <c r="J13" s="6" t="s">
        <v>93</v>
      </c>
      <c r="K13" s="6" t="s">
        <v>94</v>
      </c>
      <c r="L13" s="6" t="s">
        <v>95</v>
      </c>
      <c r="M13" s="3" t="s">
        <v>25</v>
      </c>
      <c r="N13" s="6"/>
    </row>
    <row r="14" customFormat="false" ht="63.75" hidden="false" customHeight="true" outlineLevel="0" collapsed="false">
      <c r="A14" s="3" t="n">
        <v>12</v>
      </c>
      <c r="B14" s="4" t="n">
        <v>46207</v>
      </c>
      <c r="C14" s="3" t="s">
        <v>49</v>
      </c>
      <c r="D14" s="3" t="s">
        <v>16</v>
      </c>
      <c r="E14" s="5" t="s">
        <v>17</v>
      </c>
      <c r="F14" s="3" t="s">
        <v>27</v>
      </c>
      <c r="G14" s="6" t="s">
        <v>96</v>
      </c>
      <c r="H14" s="6" t="s">
        <v>97</v>
      </c>
      <c r="I14" s="6" t="s">
        <v>98</v>
      </c>
      <c r="J14" s="6" t="s">
        <v>99</v>
      </c>
      <c r="K14" s="6" t="s">
        <v>100</v>
      </c>
      <c r="L14" s="6" t="s">
        <v>101</v>
      </c>
      <c r="M14" s="3" t="s">
        <v>25</v>
      </c>
      <c r="N14" s="6"/>
    </row>
    <row r="15" customFormat="false" ht="63.75" hidden="false" customHeight="true" outlineLevel="0" collapsed="false">
      <c r="A15" s="3" t="n">
        <v>13</v>
      </c>
      <c r="B15" s="4" t="n">
        <v>46208</v>
      </c>
      <c r="C15" s="3" t="s">
        <v>56</v>
      </c>
      <c r="D15" s="3" t="s">
        <v>16</v>
      </c>
      <c r="E15" s="8" t="s">
        <v>57</v>
      </c>
      <c r="F15" s="3" t="s">
        <v>18</v>
      </c>
      <c r="G15" s="6" t="s">
        <v>102</v>
      </c>
      <c r="H15" s="6" t="s">
        <v>103</v>
      </c>
      <c r="I15" s="6" t="s">
        <v>104</v>
      </c>
      <c r="J15" s="6" t="s">
        <v>105</v>
      </c>
      <c r="K15" s="6" t="s">
        <v>106</v>
      </c>
      <c r="L15" s="6" t="s">
        <v>107</v>
      </c>
      <c r="M15" s="3" t="s">
        <v>25</v>
      </c>
      <c r="N15" s="6"/>
    </row>
    <row r="16" customFormat="false" ht="63.75" hidden="false" customHeight="true" outlineLevel="0" collapsed="false">
      <c r="A16" s="3" t="n">
        <v>14</v>
      </c>
      <c r="B16" s="4" t="n">
        <v>46209</v>
      </c>
      <c r="C16" s="3" t="s">
        <v>64</v>
      </c>
      <c r="D16" s="3" t="s">
        <v>16</v>
      </c>
      <c r="E16" s="5" t="s">
        <v>17</v>
      </c>
      <c r="F16" s="3" t="s">
        <v>27</v>
      </c>
      <c r="G16" s="6" t="s">
        <v>108</v>
      </c>
      <c r="H16" s="6" t="s">
        <v>109</v>
      </c>
      <c r="I16" s="6" t="s">
        <v>110</v>
      </c>
      <c r="J16" s="6" t="s">
        <v>111</v>
      </c>
      <c r="K16" s="6" t="s">
        <v>112</v>
      </c>
      <c r="L16" s="6" t="s">
        <v>113</v>
      </c>
      <c r="M16" s="3" t="s">
        <v>25</v>
      </c>
      <c r="N16" s="6"/>
    </row>
    <row r="17" customFormat="false" ht="63.75" hidden="false" customHeight="true" outlineLevel="0" collapsed="false">
      <c r="A17" s="3" t="n">
        <v>15</v>
      </c>
      <c r="B17" s="4" t="n">
        <v>46210</v>
      </c>
      <c r="C17" s="3" t="s">
        <v>15</v>
      </c>
      <c r="D17" s="3" t="s">
        <v>16</v>
      </c>
      <c r="E17" s="5" t="s">
        <v>17</v>
      </c>
      <c r="F17" s="3" t="s">
        <v>18</v>
      </c>
      <c r="G17" s="6" t="s">
        <v>114</v>
      </c>
      <c r="H17" s="6" t="s">
        <v>115</v>
      </c>
      <c r="I17" s="6" t="s">
        <v>116</v>
      </c>
      <c r="J17" s="6" t="s">
        <v>117</v>
      </c>
      <c r="K17" s="6" t="s">
        <v>118</v>
      </c>
      <c r="L17" s="6" t="s">
        <v>119</v>
      </c>
      <c r="M17" s="3" t="s">
        <v>25</v>
      </c>
      <c r="N17" s="6"/>
    </row>
    <row r="18" customFormat="false" ht="63.75" hidden="false" customHeight="true" outlineLevel="0" collapsed="false">
      <c r="A18" s="3" t="n">
        <v>16</v>
      </c>
      <c r="B18" s="4" t="n">
        <v>46211</v>
      </c>
      <c r="C18" s="3" t="s">
        <v>26</v>
      </c>
      <c r="D18" s="3" t="s">
        <v>16</v>
      </c>
      <c r="E18" s="7" t="s">
        <v>35</v>
      </c>
      <c r="F18" s="3" t="s">
        <v>27</v>
      </c>
      <c r="G18" s="6" t="s">
        <v>120</v>
      </c>
      <c r="H18" s="6" t="s">
        <v>121</v>
      </c>
      <c r="I18" s="6" t="s">
        <v>122</v>
      </c>
      <c r="J18" s="6" t="s">
        <v>123</v>
      </c>
      <c r="K18" s="6" t="s">
        <v>124</v>
      </c>
      <c r="L18" s="6" t="s">
        <v>125</v>
      </c>
      <c r="M18" s="3" t="s">
        <v>25</v>
      </c>
      <c r="N18" s="6"/>
    </row>
    <row r="19" customFormat="false" ht="63.75" hidden="false" customHeight="true" outlineLevel="0" collapsed="false">
      <c r="A19" s="3" t="n">
        <v>17</v>
      </c>
      <c r="B19" s="4" t="n">
        <v>46212</v>
      </c>
      <c r="C19" s="3" t="s">
        <v>34</v>
      </c>
      <c r="D19" s="3" t="s">
        <v>16</v>
      </c>
      <c r="E19" s="5" t="s">
        <v>17</v>
      </c>
      <c r="F19" s="3" t="s">
        <v>18</v>
      </c>
      <c r="G19" s="6" t="s">
        <v>126</v>
      </c>
      <c r="H19" s="6" t="s">
        <v>127</v>
      </c>
      <c r="I19" s="6" t="s">
        <v>128</v>
      </c>
      <c r="J19" s="6" t="s">
        <v>129</v>
      </c>
      <c r="K19" s="6" t="s">
        <v>130</v>
      </c>
      <c r="L19" s="6" t="s">
        <v>131</v>
      </c>
      <c r="M19" s="3" t="s">
        <v>25</v>
      </c>
      <c r="N19" s="6"/>
    </row>
    <row r="20" customFormat="false" ht="63.75" hidden="false" customHeight="true" outlineLevel="0" collapsed="false">
      <c r="A20" s="3" t="n">
        <v>18</v>
      </c>
      <c r="B20" s="4" t="n">
        <v>46213</v>
      </c>
      <c r="C20" s="3" t="s">
        <v>42</v>
      </c>
      <c r="D20" s="3" t="s">
        <v>16</v>
      </c>
      <c r="E20" s="9" t="s">
        <v>65</v>
      </c>
      <c r="F20" s="3" t="s">
        <v>27</v>
      </c>
      <c r="G20" s="6" t="s">
        <v>132</v>
      </c>
      <c r="H20" s="6" t="s">
        <v>133</v>
      </c>
      <c r="I20" s="6" t="s">
        <v>134</v>
      </c>
      <c r="J20" s="6" t="s">
        <v>135</v>
      </c>
      <c r="K20" s="6" t="s">
        <v>136</v>
      </c>
      <c r="L20" s="6" t="s">
        <v>137</v>
      </c>
      <c r="M20" s="3" t="s">
        <v>25</v>
      </c>
      <c r="N20" s="6"/>
    </row>
    <row r="21" customFormat="false" ht="63.75" hidden="false" customHeight="true" outlineLevel="0" collapsed="false">
      <c r="A21" s="3" t="n">
        <v>19</v>
      </c>
      <c r="B21" s="4" t="n">
        <v>46214</v>
      </c>
      <c r="C21" s="3" t="s">
        <v>49</v>
      </c>
      <c r="D21" s="3" t="s">
        <v>16</v>
      </c>
      <c r="E21" s="5" t="s">
        <v>17</v>
      </c>
      <c r="F21" s="3" t="s">
        <v>18</v>
      </c>
      <c r="G21" s="6" t="s">
        <v>138</v>
      </c>
      <c r="H21" s="6" t="s">
        <v>139</v>
      </c>
      <c r="I21" s="6" t="s">
        <v>140</v>
      </c>
      <c r="J21" s="6" t="s">
        <v>141</v>
      </c>
      <c r="K21" s="6" t="s">
        <v>142</v>
      </c>
      <c r="L21" s="6" t="s">
        <v>143</v>
      </c>
      <c r="M21" s="3" t="s">
        <v>25</v>
      </c>
      <c r="N21" s="6"/>
    </row>
    <row r="22" customFormat="false" ht="63.75" hidden="false" customHeight="true" outlineLevel="0" collapsed="false">
      <c r="A22" s="3" t="n">
        <v>20</v>
      </c>
      <c r="B22" s="4" t="n">
        <v>46215</v>
      </c>
      <c r="C22" s="3" t="s">
        <v>56</v>
      </c>
      <c r="D22" s="3" t="s">
        <v>16</v>
      </c>
      <c r="E22" s="5" t="s">
        <v>17</v>
      </c>
      <c r="F22" s="3" t="s">
        <v>27</v>
      </c>
      <c r="G22" s="6" t="s">
        <v>144</v>
      </c>
      <c r="H22" s="6" t="s">
        <v>145</v>
      </c>
      <c r="I22" s="6" t="s">
        <v>146</v>
      </c>
      <c r="J22" s="6" t="s">
        <v>31</v>
      </c>
      <c r="K22" s="6" t="s">
        <v>147</v>
      </c>
      <c r="L22" s="6" t="s">
        <v>148</v>
      </c>
      <c r="M22" s="3" t="s">
        <v>25</v>
      </c>
      <c r="N22" s="6"/>
    </row>
    <row r="23" customFormat="false" ht="63.75" hidden="false" customHeight="true" outlineLevel="0" collapsed="false">
      <c r="A23" s="3" t="n">
        <v>21</v>
      </c>
      <c r="B23" s="4" t="n">
        <v>46216</v>
      </c>
      <c r="C23" s="3" t="s">
        <v>64</v>
      </c>
      <c r="D23" s="3" t="s">
        <v>16</v>
      </c>
      <c r="E23" s="8" t="s">
        <v>57</v>
      </c>
      <c r="F23" s="3" t="s">
        <v>18</v>
      </c>
      <c r="G23" s="6" t="s">
        <v>149</v>
      </c>
      <c r="H23" s="6" t="s">
        <v>150</v>
      </c>
      <c r="I23" s="6" t="s">
        <v>151</v>
      </c>
      <c r="J23" s="6" t="s">
        <v>152</v>
      </c>
      <c r="K23" s="6" t="s">
        <v>153</v>
      </c>
      <c r="L23" s="6" t="s">
        <v>154</v>
      </c>
      <c r="M23" s="3" t="s">
        <v>25</v>
      </c>
      <c r="N23" s="6"/>
    </row>
    <row r="24" customFormat="false" ht="63.75" hidden="false" customHeight="true" outlineLevel="0" collapsed="false">
      <c r="A24" s="3" t="n">
        <v>22</v>
      </c>
      <c r="B24" s="4" t="n">
        <v>46217</v>
      </c>
      <c r="C24" s="3" t="s">
        <v>15</v>
      </c>
      <c r="D24" s="3" t="s">
        <v>16</v>
      </c>
      <c r="E24" s="5" t="s">
        <v>17</v>
      </c>
      <c r="F24" s="3" t="s">
        <v>27</v>
      </c>
      <c r="G24" s="6" t="s">
        <v>155</v>
      </c>
      <c r="H24" s="6" t="s">
        <v>156</v>
      </c>
      <c r="I24" s="6" t="s">
        <v>157</v>
      </c>
      <c r="J24" s="6" t="s">
        <v>158</v>
      </c>
      <c r="K24" s="6" t="s">
        <v>159</v>
      </c>
      <c r="L24" s="6" t="s">
        <v>160</v>
      </c>
      <c r="M24" s="3" t="s">
        <v>25</v>
      </c>
      <c r="N24" s="6"/>
    </row>
    <row r="25" customFormat="false" ht="63.75" hidden="false" customHeight="true" outlineLevel="0" collapsed="false">
      <c r="A25" s="3" t="n">
        <v>23</v>
      </c>
      <c r="B25" s="4" t="n">
        <v>46218</v>
      </c>
      <c r="C25" s="3" t="s">
        <v>26</v>
      </c>
      <c r="D25" s="3" t="s">
        <v>16</v>
      </c>
      <c r="E25" s="5" t="s">
        <v>17</v>
      </c>
      <c r="F25" s="3" t="s">
        <v>18</v>
      </c>
      <c r="G25" s="6" t="s">
        <v>161</v>
      </c>
      <c r="H25" s="6" t="s">
        <v>162</v>
      </c>
      <c r="I25" s="6" t="s">
        <v>163</v>
      </c>
      <c r="J25" s="6" t="s">
        <v>164</v>
      </c>
      <c r="K25" s="6" t="s">
        <v>165</v>
      </c>
      <c r="L25" s="6" t="s">
        <v>166</v>
      </c>
      <c r="M25" s="3" t="s">
        <v>25</v>
      </c>
      <c r="N25" s="6"/>
    </row>
    <row r="26" customFormat="false" ht="63.75" hidden="false" customHeight="true" outlineLevel="0" collapsed="false">
      <c r="A26" s="3" t="n">
        <v>24</v>
      </c>
      <c r="B26" s="4" t="n">
        <v>46219</v>
      </c>
      <c r="C26" s="3" t="s">
        <v>34</v>
      </c>
      <c r="D26" s="3" t="s">
        <v>16</v>
      </c>
      <c r="E26" s="7" t="s">
        <v>35</v>
      </c>
      <c r="F26" s="3" t="s">
        <v>27</v>
      </c>
      <c r="G26" s="6" t="s">
        <v>167</v>
      </c>
      <c r="H26" s="6" t="s">
        <v>168</v>
      </c>
      <c r="I26" s="6" t="s">
        <v>169</v>
      </c>
      <c r="J26" s="6" t="s">
        <v>170</v>
      </c>
      <c r="K26" s="6" t="s">
        <v>171</v>
      </c>
      <c r="L26" s="6" t="s">
        <v>172</v>
      </c>
      <c r="M26" s="3" t="s">
        <v>25</v>
      </c>
      <c r="N26" s="6"/>
    </row>
    <row r="27" customFormat="false" ht="63.75" hidden="false" customHeight="true" outlineLevel="0" collapsed="false">
      <c r="A27" s="3" t="n">
        <v>25</v>
      </c>
      <c r="B27" s="4" t="n">
        <v>46220</v>
      </c>
      <c r="C27" s="3" t="s">
        <v>42</v>
      </c>
      <c r="D27" s="3" t="s">
        <v>16</v>
      </c>
      <c r="E27" s="5" t="s">
        <v>17</v>
      </c>
      <c r="F27" s="3" t="s">
        <v>18</v>
      </c>
      <c r="G27" s="6" t="s">
        <v>173</v>
      </c>
      <c r="H27" s="6" t="s">
        <v>174</v>
      </c>
      <c r="I27" s="6" t="s">
        <v>175</v>
      </c>
      <c r="J27" s="6" t="s">
        <v>176</v>
      </c>
      <c r="K27" s="6" t="s">
        <v>177</v>
      </c>
      <c r="L27" s="6" t="s">
        <v>178</v>
      </c>
      <c r="M27" s="3" t="s">
        <v>25</v>
      </c>
      <c r="N27" s="6"/>
    </row>
    <row r="28" customFormat="false" ht="63.75" hidden="false" customHeight="true" outlineLevel="0" collapsed="false">
      <c r="A28" s="3" t="n">
        <v>26</v>
      </c>
      <c r="B28" s="4" t="n">
        <v>46221</v>
      </c>
      <c r="C28" s="3" t="s">
        <v>49</v>
      </c>
      <c r="D28" s="3" t="s">
        <v>16</v>
      </c>
      <c r="E28" s="5" t="s">
        <v>17</v>
      </c>
      <c r="F28" s="3" t="s">
        <v>27</v>
      </c>
      <c r="G28" s="6" t="s">
        <v>179</v>
      </c>
      <c r="H28" s="6" t="s">
        <v>180</v>
      </c>
      <c r="I28" s="6" t="s">
        <v>181</v>
      </c>
      <c r="J28" s="6" t="s">
        <v>182</v>
      </c>
      <c r="K28" s="6" t="s">
        <v>183</v>
      </c>
      <c r="L28" s="6" t="s">
        <v>184</v>
      </c>
      <c r="M28" s="3" t="s">
        <v>25</v>
      </c>
      <c r="N28" s="6"/>
    </row>
    <row r="29" customFormat="false" ht="63.75" hidden="false" customHeight="true" outlineLevel="0" collapsed="false">
      <c r="A29" s="3" t="n">
        <v>27</v>
      </c>
      <c r="B29" s="4" t="n">
        <v>46222</v>
      </c>
      <c r="C29" s="3" t="s">
        <v>56</v>
      </c>
      <c r="D29" s="3" t="s">
        <v>16</v>
      </c>
      <c r="E29" s="9" t="s">
        <v>65</v>
      </c>
      <c r="F29" s="3" t="s">
        <v>18</v>
      </c>
      <c r="G29" s="6" t="s">
        <v>185</v>
      </c>
      <c r="H29" s="6" t="s">
        <v>186</v>
      </c>
      <c r="I29" s="6" t="s">
        <v>187</v>
      </c>
      <c r="J29" s="6" t="s">
        <v>188</v>
      </c>
      <c r="K29" s="6" t="s">
        <v>189</v>
      </c>
      <c r="L29" s="6" t="s">
        <v>190</v>
      </c>
      <c r="M29" s="3" t="s">
        <v>25</v>
      </c>
      <c r="N29" s="6"/>
    </row>
    <row r="30" customFormat="false" ht="63.75" hidden="false" customHeight="true" outlineLevel="0" collapsed="false">
      <c r="A30" s="3" t="n">
        <v>28</v>
      </c>
      <c r="B30" s="4" t="n">
        <v>46223</v>
      </c>
      <c r="C30" s="3" t="s">
        <v>64</v>
      </c>
      <c r="D30" s="3" t="s">
        <v>16</v>
      </c>
      <c r="E30" s="5" t="s">
        <v>17</v>
      </c>
      <c r="F30" s="3" t="s">
        <v>27</v>
      </c>
      <c r="G30" s="6" t="s">
        <v>191</v>
      </c>
      <c r="H30" s="6" t="s">
        <v>192</v>
      </c>
      <c r="I30" s="6" t="s">
        <v>193</v>
      </c>
      <c r="J30" s="6" t="s">
        <v>194</v>
      </c>
      <c r="K30" s="6" t="s">
        <v>195</v>
      </c>
      <c r="L30" s="6" t="s">
        <v>196</v>
      </c>
      <c r="M30" s="3" t="s">
        <v>25</v>
      </c>
      <c r="N30" s="6"/>
    </row>
    <row r="31" customFormat="false" ht="63.75" hidden="false" customHeight="true" outlineLevel="0" collapsed="false">
      <c r="A31" s="3" t="n">
        <v>29</v>
      </c>
      <c r="B31" s="4" t="n">
        <v>46224</v>
      </c>
      <c r="C31" s="3" t="s">
        <v>15</v>
      </c>
      <c r="D31" s="3" t="s">
        <v>16</v>
      </c>
      <c r="E31" s="5" t="s">
        <v>17</v>
      </c>
      <c r="F31" s="3" t="s">
        <v>18</v>
      </c>
      <c r="G31" s="6" t="s">
        <v>197</v>
      </c>
      <c r="H31" s="6" t="s">
        <v>198</v>
      </c>
      <c r="I31" s="6" t="s">
        <v>199</v>
      </c>
      <c r="J31" s="6" t="s">
        <v>200</v>
      </c>
      <c r="K31" s="6" t="s">
        <v>201</v>
      </c>
      <c r="L31" s="6" t="s">
        <v>202</v>
      </c>
      <c r="M31" s="3" t="s">
        <v>25</v>
      </c>
      <c r="N31" s="6"/>
    </row>
    <row r="32" customFormat="false" ht="63.75" hidden="false" customHeight="true" outlineLevel="0" collapsed="false">
      <c r="A32" s="3" t="n">
        <v>30</v>
      </c>
      <c r="B32" s="4" t="n">
        <v>46225</v>
      </c>
      <c r="C32" s="3" t="s">
        <v>26</v>
      </c>
      <c r="D32" s="3" t="s">
        <v>16</v>
      </c>
      <c r="E32" s="8" t="s">
        <v>57</v>
      </c>
      <c r="F32" s="3" t="s">
        <v>27</v>
      </c>
      <c r="G32" s="6" t="s">
        <v>203</v>
      </c>
      <c r="H32" s="6" t="s">
        <v>204</v>
      </c>
      <c r="I32" s="6" t="s">
        <v>205</v>
      </c>
      <c r="J32" s="6" t="s">
        <v>206</v>
      </c>
      <c r="K32" s="6" t="s">
        <v>207</v>
      </c>
      <c r="L32" s="6" t="s">
        <v>208</v>
      </c>
      <c r="M32" s="3" t="s">
        <v>25</v>
      </c>
      <c r="N32" s="6"/>
    </row>
  </sheetData>
  <mergeCells count="1">
    <mergeCell ref="A1:N1"/>
  </mergeCells>
  <conditionalFormatting sqref="A3:N32">
    <cfRule type="expression" priority="2" aboveAverage="0" equalAverage="0" bottom="0" percent="0" rank="0" text="" dxfId="0">
      <formula>$M3="Sim"</formula>
    </cfRule>
  </conditionalFormatting>
  <dataValidations count="1">
    <dataValidation allowBlank="false" errorStyle="stop" operator="between" showDropDown="false" showErrorMessage="false" showInputMessage="false" sqref="M3:M32" type="list">
      <formula1>"Sim,Nao"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4"/>
    <col collapsed="false" customWidth="true" hidden="false" outlineLevel="0" max="3" min="3" style="0" width="8"/>
  </cols>
  <sheetData>
    <row r="1" customFormat="false" ht="30" hidden="false" customHeight="true" outlineLevel="0" collapsed="false">
      <c r="A1" s="10" t="s">
        <v>209</v>
      </c>
      <c r="B1" s="10"/>
      <c r="C1" s="10"/>
    </row>
    <row r="3" customFormat="false" ht="15" hidden="false" customHeight="false" outlineLevel="0" collapsed="false">
      <c r="A3" s="11" t="s">
        <v>210</v>
      </c>
    </row>
    <row r="4" customFormat="false" ht="15" hidden="false" customHeight="false" outlineLevel="0" collapsed="false">
      <c r="A4" s="12" t="s">
        <v>211</v>
      </c>
      <c r="B4" s="12" t="s">
        <v>212</v>
      </c>
      <c r="C4" s="12" t="s">
        <v>213</v>
      </c>
    </row>
    <row r="5" customFormat="false" ht="15" hidden="false" customHeight="false" outlineLevel="0" collapsed="false">
      <c r="A5" s="13" t="s">
        <v>17</v>
      </c>
      <c r="B5" s="13" t="n">
        <f aca="false">COUNTIF('Calendario 30 dias'!E:E,"Educativo")</f>
        <v>19</v>
      </c>
      <c r="C5" s="14"/>
    </row>
    <row r="6" customFormat="false" ht="15" hidden="false" customHeight="false" outlineLevel="0" collapsed="false">
      <c r="A6" s="13" t="s">
        <v>35</v>
      </c>
      <c r="B6" s="13" t="n">
        <f aca="false">COUNTIF('Calendario 30 dias'!E:E,"Engajamento")</f>
        <v>4</v>
      </c>
      <c r="C6" s="15"/>
    </row>
    <row r="7" customFormat="false" ht="15" hidden="false" customHeight="false" outlineLevel="0" collapsed="false">
      <c r="A7" s="13" t="s">
        <v>65</v>
      </c>
      <c r="B7" s="13" t="n">
        <f aca="false">COUNTIF('Calendario 30 dias'!E:E,"Vendas")</f>
        <v>3</v>
      </c>
      <c r="C7" s="16"/>
    </row>
    <row r="8" customFormat="false" ht="15" hidden="false" customHeight="false" outlineLevel="0" collapsed="false">
      <c r="A8" s="13" t="s">
        <v>57</v>
      </c>
      <c r="B8" s="13" t="n">
        <f aca="false">COUNTIF('Calendario 30 dias'!E:E,"Inspiracao")</f>
        <v>4</v>
      </c>
      <c r="C8" s="17"/>
    </row>
    <row r="9" customFormat="false" ht="15" hidden="false" customHeight="false" outlineLevel="0" collapsed="false">
      <c r="A9" s="11" t="s">
        <v>214</v>
      </c>
      <c r="B9" s="11" t="n">
        <f aca="false">SUM(B5:B8)</f>
        <v>30</v>
      </c>
    </row>
    <row r="12" customFormat="false" ht="15" hidden="false" customHeight="false" outlineLevel="0" collapsed="false">
      <c r="A12" s="11" t="s">
        <v>215</v>
      </c>
    </row>
    <row r="13" customFormat="false" ht="15" hidden="false" customHeight="false" outlineLevel="0" collapsed="false">
      <c r="A13" s="13" t="s">
        <v>216</v>
      </c>
      <c r="B13" s="11" t="n">
        <f aca="false">COUNTIF('Calendario 30 dias'!M:M,"Sim")</f>
        <v>0</v>
      </c>
    </row>
    <row r="14" customFormat="false" ht="15" hidden="false" customHeight="false" outlineLevel="0" collapsed="false">
      <c r="A14" s="13" t="s">
        <v>217</v>
      </c>
      <c r="B14" s="11" t="n">
        <f aca="false">COUNTA('Calendario 30 dias'!A3:A32)</f>
        <v>30</v>
      </c>
    </row>
    <row r="15" customFormat="false" ht="15" hidden="false" customHeight="false" outlineLevel="0" collapsed="false">
      <c r="A15" s="13" t="s">
        <v>218</v>
      </c>
      <c r="B15" s="18" t="n">
        <f aca="false">B13/B14</f>
        <v>0</v>
      </c>
    </row>
    <row r="17" customFormat="false" ht="15" hidden="false" customHeight="false" outlineLevel="0" collapsed="false">
      <c r="A17" s="19" t="s">
        <v>219</v>
      </c>
    </row>
    <row r="18" customFormat="false" ht="15" hidden="false" customHeight="false" outlineLevel="0" collapsed="false">
      <c r="A18" s="20" t="s">
        <v>220</v>
      </c>
    </row>
    <row r="19" customFormat="false" ht="15" hidden="false" customHeight="false" outlineLevel="0" collapsed="false">
      <c r="A19" s="20" t="s">
        <v>221</v>
      </c>
    </row>
    <row r="20" customFormat="false" ht="15" hidden="false" customHeight="false" outlineLevel="0" collapsed="false">
      <c r="A20" s="20" t="s">
        <v>222</v>
      </c>
    </row>
    <row r="21" customFormat="false" ht="15" hidden="false" customHeight="false" outlineLevel="0" collapsed="false">
      <c r="A21" s="20" t="s">
        <v>223</v>
      </c>
    </row>
    <row r="22" customFormat="false" ht="15" hidden="false" customHeight="false" outlineLevel="0" collapsed="false">
      <c r="A22" s="20" t="s">
        <v>224</v>
      </c>
    </row>
    <row r="23" customFormat="false" ht="15" hidden="false" customHeight="false" outlineLevel="0" collapsed="false">
      <c r="A23" s="20" t="s">
        <v>225</v>
      </c>
    </row>
    <row r="25" customFormat="false" ht="15" hidden="false" customHeight="false" outlineLevel="0" collapsed="false">
      <c r="A25" s="19" t="s">
        <v>226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2026-06-25T14:39:33Z</dcterms:created>
  <dc:creator>openpyxl</dc:creator>
  <dc:description/>
  <dc:language>en-US</dc:language>
  <cp:lastModifiedBy/>
  <dcterms:modified xsi:type="dcterms:W3CDTF">2026-06-25T14:39:33Z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