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io 30 dias" sheetId="1" state="visible" r:id="rId3"/>
    <sheet name="Resum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<sst xmlns="http://schemas.openxmlformats.org/spreadsheetml/2006/main" count="368" uniqueCount="200">
  <si>
    <t xml:space="preserve">CALENDARIO DE STORIES - A IMPORTANCIA DE TER UM SITE - 30 DIAS  |  Formato vertical 9:16</t>
  </si>
  <si>
    <t xml:space="preserve">Dia</t>
  </si>
  <si>
    <t xml:space="preserve">Data</t>
  </si>
  <si>
    <t xml:space="preserve">Dia da semana</t>
  </si>
  <si>
    <t xml:space="preserve">Plataforma</t>
  </si>
  <si>
    <t xml:space="preserve">Pilar de conteudo</t>
  </si>
  <si>
    <t xml:space="preserve">Formato</t>
  </si>
  <si>
    <t xml:space="preserve">Tema / Titulo</t>
  </si>
  <si>
    <t xml:space="preserve">Sequencia de telas</t>
  </si>
  <si>
    <t xml:space="preserve">Recurso interativo</t>
  </si>
  <si>
    <t xml:space="preserve">CTA (chamada)</t>
  </si>
  <si>
    <t xml:space="preserve">Stickers/Hashtags</t>
  </si>
  <si>
    <t xml:space="preserve">Prompt (IA)</t>
  </si>
  <si>
    <t xml:space="preserve">Postado?</t>
  </si>
  <si>
    <t xml:space="preserve">Observacoes</t>
  </si>
  <si>
    <t xml:space="preserve">terca-feira</t>
  </si>
  <si>
    <t xml:space="preserve">Instagram</t>
  </si>
  <si>
    <t xml:space="preserve">Educativo</t>
  </si>
  <si>
    <t xml:space="preserve">Stories 9:16</t>
  </si>
  <si>
    <t xml:space="preserve">Por que ter um site</t>
  </si>
  <si>
    <t xml:space="preserve">Tela 1: gancho 'Seu negocio existe online?' | Tela 2: o problema | Tela 3: a solucao (ter site)</t>
  </si>
  <si>
    <t xml:space="preserve">Enquete: Voce tem site? Sim/Nao</t>
  </si>
  <si>
    <t xml:space="preserve">Arrasta pra cima ou toca no link</t>
  </si>
  <si>
    <t xml:space="preserve">#site sticker de localizacao</t>
  </si>
  <si>
    <t xml:space="preserve">Voce e designer e redator de Stories do Instagram, criando uma sequencia sobre A IMPORTANCIA DE TER UM SITE para donos de pequenos negocios e empreendedores. Crie uma SEQUENCIA DE STORIES na proporcao vertical 9:16 sobre "Por que ter um site". Estruture as telas assim: Tela 1: gancho 'Seu negocio existe online?' | Tela 2: o problema | Tela 3: a solucao (ter site). Para cada tela, descreva a arte (fundo, paleta sobria e profissional, tipografia grande e legivel) e o texto exato que aparece. Use POUCO texto por tela. Inclua o recurso interativo: Enquete: Voce tem site? Sim/Nao. Pilar: Educativo. Finalize a ultima tela com o CTA: "Arrasta pra cima ou toca no link". Sugira tambem stickers/elementos: #site sticker de localizacao.</t>
  </si>
  <si>
    <t xml:space="preserve">Nao</t>
  </si>
  <si>
    <t xml:space="preserve">quarta-feira</t>
  </si>
  <si>
    <t xml:space="preserve">Site x rede social</t>
  </si>
  <si>
    <t xml:space="preserve">Tela 1: pergunta | Tela 2: rede social voce aluga | Tela 3: site voce e dono</t>
  </si>
  <si>
    <t xml:space="preserve">Quiz: O que e seu de verdade?</t>
  </si>
  <si>
    <t xml:space="preserve">Responde o quiz</t>
  </si>
  <si>
    <t xml:space="preserve">sticker GIF 'pensa'</t>
  </si>
  <si>
    <t xml:space="preserve">Voce e designer e redator de Stories do Instagram, criando uma sequencia sobre A IMPORTANCIA DE TER UM SITE para donos de pequenos negocios e empreendedores. Crie uma SEQUENCIA DE STORIES na proporcao vertical 9:16 sobre "Site x rede social". Estruture as telas assim: Tela 1: pergunta | Tela 2: rede social voce aluga | Tela 3: site voce e dono. Para cada tela, descreva a arte (fundo, paleta sobria e profissional, tipografia grande e legivel) e o texto exato que aparece. Use POUCO texto por tela. Inclua o recurso interativo: Quiz: O que e seu de verdade?. Pilar: Educativo. Finalize a ultima tela com o CTA: "Responde o quiz". Sugira tambem stickers/elementos: sticker GIF 'pensa'.</t>
  </si>
  <si>
    <t xml:space="preserve">quinta-feira</t>
  </si>
  <si>
    <t xml:space="preserve">Engajamento</t>
  </si>
  <si>
    <t xml:space="preserve">Voce ja tem site?</t>
  </si>
  <si>
    <t xml:space="preserve">Tela 1: enquete direta | Tela 2: agradece e comenta resultados</t>
  </si>
  <si>
    <t xml:space="preserve">Enquete: So rede social / Tenho site</t>
  </si>
  <si>
    <t xml:space="preserve">Vota ai</t>
  </si>
  <si>
    <t xml:space="preserve">sticker de enquete</t>
  </si>
  <si>
    <t xml:space="preserve">Voce e designer e redator de Stories do Instagram, criando uma sequencia sobre A IMPORTANCIA DE TER UM SITE para donos de pequenos negocios e empreendedores. Crie uma SEQUENCIA DE STORIES na proporcao vertical 9:16 sobre "Voce ja tem site?". Estruture as telas assim: Tela 1: enquete direta | Tela 2: agradece e comenta resultados. Para cada tela, descreva a arte (fundo, paleta sobria e profissional, tipografia grande e legivel) e o texto exato que aparece. Use POUCO texto por tela. Inclua o recurso interativo: Enquete: So rede social / Tenho site. Pilar: Engajamento. Finalize a ultima tela com o CTA: "Vota ai". Sugira tambem stickers/elementos: sticker de enquete.</t>
  </si>
  <si>
    <t xml:space="preserve">sexta-feira</t>
  </si>
  <si>
    <t xml:space="preserve">Credibilidade do site</t>
  </si>
  <si>
    <t xml:space="preserve">Tela 1: dado 83% pesquisam antes de comprar | Tela 2: como o site gera confianca</t>
  </si>
  <si>
    <t xml:space="preserve">Caixa de pergunta: o que te passa confianca?</t>
  </si>
  <si>
    <t xml:space="preserve">Manda sua opiniao</t>
  </si>
  <si>
    <t xml:space="preserve">sticker de pergunta</t>
  </si>
  <si>
    <t xml:space="preserve">Voce e designer e redator de Stories do Instagram, criando uma sequencia sobre A IMPORTANCIA DE TER UM SITE para donos de pequenos negocios e empreendedores. Crie uma SEQUENCIA DE STORIES na proporcao vertical 9:16 sobre "Credibilidade do site". Estruture as telas assim: Tela 1: dado 83% pesquisam antes de comprar | Tela 2: como o site gera confianca. Para cada tela, descreva a arte (fundo, paleta sobria e profissional, tipografia grande e legivel) e o texto exato que aparece. Use POUCO texto por tela. Inclua o recurso interativo: Caixa de pergunta: o que te passa confianca?. Pilar: Educativo. Finalize a ultima tela com o CTA: "Manda sua opiniao". Sugira tambem stickers/elementos: sticker de pergunta.</t>
  </si>
  <si>
    <t xml:space="preserve">sabado</t>
  </si>
  <si>
    <t xml:space="preserve">Site trabalha 24h</t>
  </si>
  <si>
    <t xml:space="preserve">Tela 1: 'seu vendedor que nunca dorme' | Tela 2: como funciona 24h</t>
  </si>
  <si>
    <t xml:space="preserve">Controle deslizante (emoji)</t>
  </si>
  <si>
    <t xml:space="preserve">Desliza o quanto concorda</t>
  </si>
  <si>
    <t xml:space="preserve">sticker slider</t>
  </si>
  <si>
    <t xml:space="preserve">Voce e designer e redator de Stories do Instagram, criando uma sequencia sobre A IMPORTANCIA DE TER UM SITE para donos de pequenos negocios e empreendedores. Crie uma SEQUENCIA DE STORIES na proporcao vertical 9:16 sobre "Site trabalha 24h". Estruture as telas assim: Tela 1: 'seu vendedor que nunca dorme' | Tela 2: como funciona 24h. Para cada tela, descreva a arte (fundo, paleta sobria e profissional, tipografia grande e legivel) e o texto exato que aparece. Use POUCO texto por tela. Inclua o recurso interativo: Controle deslizante (emoji). Pilar: Educativo. Finalize a ultima tela com o CTA: "Desliza o quanto concorda". Sugira tambem stickers/elementos: sticker slider.</t>
  </si>
  <si>
    <t xml:space="preserve">domingo</t>
  </si>
  <si>
    <t xml:space="preserve">Inspiracao</t>
  </si>
  <si>
    <t xml:space="preserve">Frase: ser achado no Google</t>
  </si>
  <si>
    <t xml:space="preserve">Tela 1: frase de impacto | Tela 2: reflexao curta</t>
  </si>
  <si>
    <t xml:space="preserve">Sticker 'compartilhe'</t>
  </si>
  <si>
    <t xml:space="preserve">Compartilha nos seus stories</t>
  </si>
  <si>
    <t xml:space="preserve">sticker de coracao</t>
  </si>
  <si>
    <t xml:space="preserve">Voce e designer e redator de Stories do Instagram, criando uma sequencia sobre A IMPORTANCIA DE TER UM SITE para donos de pequenos negocios e empreendedores. Crie uma SEQUENCIA DE STORIES na proporcao vertical 9:16 sobre "Frase: ser achado no Google". Estruture as telas assim: Tela 1: frase de impacto | Tela 2: reflexao curta. Para cada tela, descreva a arte (fundo, paleta sobria e profissional, tipografia grande e legivel) e o texto exato que aparece. Use POUCO texto por tela. Inclua o recurso interativo: Sticker 'compartilhe'. Pilar: Inspiracao. Finalize a ultima tela com o CTA: "Compartilha nos seus stories". Sugira tambem stickers/elementos: sticker de coracao.</t>
  </si>
  <si>
    <t xml:space="preserve">segunda-feira</t>
  </si>
  <si>
    <t xml:space="preserve">Vendas</t>
  </si>
  <si>
    <t xml:space="preserve">Oferta criacao de site</t>
  </si>
  <si>
    <t xml:space="preserve">Tela 1: 'site profissional em poucos dias' | Tela 2: prova | Tela 3: chamada</t>
  </si>
  <si>
    <t xml:space="preserve">Link/sticker de link</t>
  </si>
  <si>
    <t xml:space="preserve">Toca no link e fala comigo</t>
  </si>
  <si>
    <t xml:space="preserve">sticker de link</t>
  </si>
  <si>
    <t xml:space="preserve">Voce e designer e redator de Stories do Instagram, criando uma sequencia sobre A IMPORTANCIA DE TER UM SITE para donos de pequenos negocios e empreendedores. Crie uma SEQUENCIA DE STORIES na proporcao vertical 9:16 sobre "Oferta criacao de site". Estruture as telas assim: Tela 1: 'site profissional em poucos dias' | Tela 2: prova | Tela 3: chamada. Para cada tela, descreva a arte (fundo, paleta sobria e profissional, tipografia grande e legivel) e o texto exato que aparece. Use POUCO texto por tela. Inclua o recurso interativo: Link/sticker de link. Pilar: Vendas. Finalize a ultima tela com o CTA: "Toca no link e fala comigo". Sugira tambem stickers/elementos: sticker de link.</t>
  </si>
  <si>
    <t xml:space="preserve">Depender do algoritmo</t>
  </si>
  <si>
    <t xml:space="preserve">Tela 1: risco de depender da rede | Tela 2: site nao some</t>
  </si>
  <si>
    <t xml:space="preserve">Enquete: Ja perdeu alcance? Sim/Nao</t>
  </si>
  <si>
    <t xml:space="preserve">Vota</t>
  </si>
  <si>
    <t xml:space="preserve">Voce e designer e redator de Stories do Instagram, criando uma sequencia sobre A IMPORTANCIA DE TER UM SITE para donos de pequenos negocios e empreendedores. Crie uma SEQUENCIA DE STORIES na proporcao vertical 9:16 sobre "Depender do algoritmo". Estruture as telas assim: Tela 1: risco de depender da rede | Tela 2: site nao some. Para cada tela, descreva a arte (fundo, paleta sobria e profissional, tipografia grande e legivel) e o texto exato que aparece. Use POUCO texto por tela. Inclua o recurso interativo: Enquete: Ja perdeu alcance? Sim/Nao. Pilar: Educativo. Finalize a ultima tela com o CTA: "Vota". Sugira tambem stickers/elementos: sticker de enquete.</t>
  </si>
  <si>
    <t xml:space="preserve">Site e SEO (Google)</t>
  </si>
  <si>
    <t xml:space="preserve">Tela 1: 'apareca quando procurarem' | Tela 2: SEO simples</t>
  </si>
  <si>
    <t xml:space="preserve">Quiz sobre Google</t>
  </si>
  <si>
    <t xml:space="preserve">sticker de quiz</t>
  </si>
  <si>
    <t xml:space="preserve">Voce e designer e redator de Stories do Instagram, criando uma sequencia sobre A IMPORTANCIA DE TER UM SITE para donos de pequenos negocios e empreendedores. Crie uma SEQUENCIA DE STORIES na proporcao vertical 9:16 sobre "Site e SEO (Google)". Estruture as telas assim: Tela 1: 'apareca quando procurarem' | Tela 2: SEO simples. Para cada tela, descreva a arte (fundo, paleta sobria e profissional, tipografia grande e legivel) e o texto exato que aparece. Use POUCO texto por tela. Inclua o recurso interativo: Quiz sobre Google. Pilar: Educativo. Finalize a ultima tela com o CTA: "Responde o quiz". Sugira tambem stickers/elementos: sticker de quiz.</t>
  </si>
  <si>
    <t xml:space="preserve">Como te acham hoje?</t>
  </si>
  <si>
    <t xml:space="preserve">Tela 1: pergunta | Tela 2: comenta os canais</t>
  </si>
  <si>
    <t xml:space="preserve">Caixa de pergunta</t>
  </si>
  <si>
    <t xml:space="preserve">Manda como te encontram</t>
  </si>
  <si>
    <t xml:space="preserve">Voce e designer e redator de Stories do Instagram, criando uma sequencia sobre A IMPORTANCIA DE TER UM SITE para donos de pequenos negocios e empreendedores. Crie uma SEQUENCIA DE STORIES na proporcao vertical 9:16 sobre "Como te acham hoje?". Estruture as telas assim: Tela 1: pergunta | Tela 2: comenta os canais. Para cada tela, descreva a arte (fundo, paleta sobria e profissional, tipografia grande e legivel) e o texto exato que aparece. Use POUCO texto por tela. Inclua o recurso interativo: Caixa de pergunta. Pilar: Engajamento. Finalize a ultima tela com o CTA: "Manda como te encontram". Sugira tambem stickers/elementos: sticker de pergunta.</t>
  </si>
  <si>
    <t xml:space="preserve">Site centraliza tudo</t>
  </si>
  <si>
    <t xml:space="preserve">Tela 1: 'um link que reune tudo' | Tela 2: portfolio, contato, venda</t>
  </si>
  <si>
    <t xml:space="preserve">Sticker 'salva isso'</t>
  </si>
  <si>
    <t xml:space="preserve">Salva pra lembrar</t>
  </si>
  <si>
    <t xml:space="preserve">sticker GIF seta</t>
  </si>
  <si>
    <t xml:space="preserve">Voce e designer e redator de Stories do Instagram, criando uma sequencia sobre A IMPORTANCIA DE TER UM SITE para donos de pequenos negocios e empreendedores. Crie uma SEQUENCIA DE STORIES na proporcao vertical 9:16 sobre "Site centraliza tudo". Estruture as telas assim: Tela 1: 'um link que reune tudo' | Tela 2: portfolio, contato, venda. Para cada tela, descreva a arte (fundo, paleta sobria e profissional, tipografia grande e legivel) e o texto exato que aparece. Use POUCO texto por tela. Inclua o recurso interativo: Sticker 'salva isso'. Pilar: Educativo. Finalize a ultima tela com o CTA: "Salva pra lembrar". Sugira tambem stickers/elementos: sticker GIF seta.</t>
  </si>
  <si>
    <t xml:space="preserve">Mito: site e caro</t>
  </si>
  <si>
    <t xml:space="preserve">Tela 1: mito | Tela 2: verdade (ficou simples)</t>
  </si>
  <si>
    <t xml:space="preserve">Enquete: Achava caro? Sim/Nao</t>
  </si>
  <si>
    <t xml:space="preserve">Voce e designer e redator de Stories do Instagram, criando uma sequencia sobre A IMPORTANCIA DE TER UM SITE para donos de pequenos negocios e empreendedores. Crie uma SEQUENCIA DE STORIES na proporcao vertical 9:16 sobre "Mito: site e caro". Estruture as telas assim: Tela 1: mito | Tela 2: verdade (ficou simples). Para cada tela, descreva a arte (fundo, paleta sobria e profissional, tipografia grande e legivel) e o texto exato que aparece. Use POUCO texto por tela. Inclua o recurso interativo: Enquete: Achava caro? Sim/Nao. Pilar: Educativo. Finalize a ultima tela com o CTA: "Vota ai". Sugira tambem stickers/elementos: sticker de enquete.</t>
  </si>
  <si>
    <t xml:space="preserve">Frase: endereco proprio</t>
  </si>
  <si>
    <t xml:space="preserve">Tela 1: 'negocio serio tem endereco proprio' | Tela 2: reflexao</t>
  </si>
  <si>
    <t xml:space="preserve">Sticker de compartilhar</t>
  </si>
  <si>
    <t xml:space="preserve">Marca um amigo</t>
  </si>
  <si>
    <t xml:space="preserve">sticker mencao</t>
  </si>
  <si>
    <t xml:space="preserve">Voce e designer e redator de Stories do Instagram, criando uma sequencia sobre A IMPORTANCIA DE TER UM SITE para donos de pequenos negocios e empreendedores. Crie uma SEQUENCIA DE STORIES na proporcao vertical 9:16 sobre "Frase: endereco proprio". Estruture as telas assim: Tela 1: 'negocio serio tem endereco proprio' | Tela 2: reflexao. Para cada tela, descreva a arte (fundo, paleta sobria e profissional, tipografia grande e legivel) e o texto exato que aparece. Use POUCO texto por tela. Inclua o recurso interativo: Sticker de compartilhar. Pilar: Inspiracao. Finalize a ultima tela com o CTA: "Marca um amigo". Sugira tambem stickers/elementos: sticker mencao.</t>
  </si>
  <si>
    <t xml:space="preserve">Site converte</t>
  </si>
  <si>
    <t xml:space="preserve">Tela 1: 'transforme cliques em clientes' | Tela 2: como converter</t>
  </si>
  <si>
    <t xml:space="preserve">Controle deslizante</t>
  </si>
  <si>
    <t xml:space="preserve">Desliza se faz sentido</t>
  </si>
  <si>
    <t xml:space="preserve">Voce e designer e redator de Stories do Instagram, criando uma sequencia sobre A IMPORTANCIA DE TER UM SITE para donos de pequenos negocios e empreendedores. Crie uma SEQUENCIA DE STORIES na proporcao vertical 9:16 sobre "Site converte". Estruture as telas assim: Tela 1: 'transforme cliques em clientes' | Tela 2: como converter. Para cada tela, descreva a arte (fundo, paleta sobria e profissional, tipografia grande e legivel) e o texto exato que aparece. Use POUCO texto por tela. Inclua o recurso interativo: Controle deslizante. Pilar: Educativo. Finalize a ultima tela com o CTA: "Desliza se faz sentido". Sugira tambem stickers/elementos: sticker slider.</t>
  </si>
  <si>
    <t xml:space="preserve">Prova social no site</t>
  </si>
  <si>
    <t xml:space="preserve">Tela 1: 'depoimentos vendem por voce' | Tela 2: exemplo</t>
  </si>
  <si>
    <t xml:space="preserve">Caixa de pergunta: melhor depoimento que ja viu?</t>
  </si>
  <si>
    <t xml:space="preserve">Conta pra mim</t>
  </si>
  <si>
    <t xml:space="preserve">Voce e designer e redator de Stories do Instagram, criando uma sequencia sobre A IMPORTANCIA DE TER UM SITE para donos de pequenos negocios e empreendedores. Crie uma SEQUENCIA DE STORIES na proporcao vertical 9:16 sobre "Prova social no site". Estruture as telas assim: Tela 1: 'depoimentos vendem por voce' | Tela 2: exemplo. Para cada tela, descreva a arte (fundo, paleta sobria e profissional, tipografia grande e legivel) e o texto exato que aparece. Use POUCO texto por tela. Inclua o recurso interativo: Caixa de pergunta: melhor depoimento que ja viu?. Pilar: Educativo. Finalize a ultima tela com o CTA: "Conta pra mim". Sugira tambem stickers/elementos: sticker de pergunta.</t>
  </si>
  <si>
    <t xml:space="preserve">Site ou so Instagram?</t>
  </si>
  <si>
    <t xml:space="preserve">Tela 1: enquete | Tela 2: debate</t>
  </si>
  <si>
    <t xml:space="preserve">Enquete: Site / So Insta</t>
  </si>
  <si>
    <t xml:space="preserve">Voce e designer e redator de Stories do Instagram, criando uma sequencia sobre A IMPORTANCIA DE TER UM SITE para donos de pequenos negocios e empreendedores. Crie uma SEQUENCIA DE STORIES na proporcao vertical 9:16 sobre "Site ou so Instagram?". Estruture as telas assim: Tela 1: enquete | Tela 2: debate. Para cada tela, descreva a arte (fundo, paleta sobria e profissional, tipografia grande e legivel) e o texto exato que aparece. Use POUCO texto por tela. Inclua o recurso interativo: Enquete: Site / So Insta. Pilar: Engajamento. Finalize a ultima tela com o CTA: "Vota". Sugira tambem stickers/elementos: sticker de enquete.</t>
  </si>
  <si>
    <t xml:space="preserve">Site como vitrine 24h</t>
  </si>
  <si>
    <t xml:space="preserve">Tela 1: 'vitrine aberta 24h' | Tela 2: comparacao com loja</t>
  </si>
  <si>
    <t xml:space="preserve">Sticker 'salva'</t>
  </si>
  <si>
    <t xml:space="preserve">Salva esse conceito</t>
  </si>
  <si>
    <t xml:space="preserve">sticker GIF loja</t>
  </si>
  <si>
    <t xml:space="preserve">Voce e designer e redator de Stories do Instagram, criando uma sequencia sobre A IMPORTANCIA DE TER UM SITE para donos de pequenos negocios e empreendedores. Crie uma SEQUENCIA DE STORIES na proporcao vertical 9:16 sobre "Site como vitrine 24h". Estruture as telas assim: Tela 1: 'vitrine aberta 24h' | Tela 2: comparacao com loja. Para cada tela, descreva a arte (fundo, paleta sobria e profissional, tipografia grande e legivel) e o texto exato que aparece. Use POUCO texto por tela. Inclua o recurso interativo: Sticker 'salva'. Pilar: Educativo. Finalize a ultima tela com o CTA: "Salva esse conceito". Sugira tambem stickers/elementos: sticker GIF loja.</t>
  </si>
  <si>
    <t xml:space="preserve">Antes e depois com site</t>
  </si>
  <si>
    <t xml:space="preserve">Tela 1: 'de invisivel a achado no Google' | Tela 2: resultado | Tela 3: oferta</t>
  </si>
  <si>
    <t xml:space="preserve">Quer isso? Toca no link</t>
  </si>
  <si>
    <t xml:space="preserve">Voce e designer e redator de Stories do Instagram, criando uma sequencia sobre A IMPORTANCIA DE TER UM SITE para donos de pequenos negocios e empreendedores. Crie uma SEQUENCIA DE STORIES na proporcao vertical 9:16 sobre "Antes e depois com site". Estruture as telas assim: Tela 1: 'de invisivel a achado no Google' | Tela 2: resultado | Tela 3: oferta. Para cada tela, descreva a arte (fundo, paleta sobria e profissional, tipografia grande e legivel) e o texto exato que aparece. Use POUCO texto por tela. Inclua o recurso interativo: Link/sticker de link. Pilar: Vendas. Finalize a ultima tela com o CTA: "Quer isso? Toca no link". Sugira tambem stickers/elementos: sticker de link.</t>
  </si>
  <si>
    <t xml:space="preserve">Site rapido no celular</t>
  </si>
  <si>
    <t xml:space="preserve">Tela 1: 'precisa abrir rapido no celular' | Tela 2: por que importa</t>
  </si>
  <si>
    <t xml:space="preserve">Enquete: Site lento te irrita? Sim/Nao</t>
  </si>
  <si>
    <t xml:space="preserve">Voce e designer e redator de Stories do Instagram, criando uma sequencia sobre A IMPORTANCIA DE TER UM SITE para donos de pequenos negocios e empreendedores. Crie uma SEQUENCIA DE STORIES na proporcao vertical 9:16 sobre "Site rapido no celular". Estruture as telas assim: Tela 1: 'precisa abrir rapido no celular' | Tela 2: por que importa. Para cada tela, descreva a arte (fundo, paleta sobria e profissional, tipografia grande e legivel) e o texto exato que aparece. Use POUCO texto por tela. Inclua o recurso interativo: Enquete: Site lento te irrita? Sim/Nao. Pilar: Educativo. Finalize a ultima tela com o CTA: "Vota ai". Sugira tambem stickers/elementos: sticker de enquete.</t>
  </si>
  <si>
    <t xml:space="preserve">Dominio e email proprio</t>
  </si>
  <si>
    <t xml:space="preserve">Tela 1: 'pare de usar gmail no negocio' | Tela 2: dominio passa seriedade</t>
  </si>
  <si>
    <t xml:space="preserve">Quiz: qual passa mais confianca?</t>
  </si>
  <si>
    <t xml:space="preserve">Responde</t>
  </si>
  <si>
    <t xml:space="preserve">Voce e designer e redator de Stories do Instagram, criando uma sequencia sobre A IMPORTANCIA DE TER UM SITE para donos de pequenos negocios e empreendedores. Crie uma SEQUENCIA DE STORIES na proporcao vertical 9:16 sobre "Dominio e email proprio". Estruture as telas assim: Tela 1: 'pare de usar gmail no negocio' | Tela 2: dominio passa seriedade. Para cada tela, descreva a arte (fundo, paleta sobria e profissional, tipografia grande e legivel) e o texto exato que aparece. Use POUCO texto por tela. Inclua o recurso interativo: Quiz: qual passa mais confianca?. Pilar: Educativo. Finalize a ultima tela com o CTA: "Responde". Sugira tambem stickers/elementos: sticker de quiz.</t>
  </si>
  <si>
    <t xml:space="preserve">Frase: presenca = crescimento</t>
  </si>
  <si>
    <t xml:space="preserve">Tela 1: frase | Tela 2: reflexao</t>
  </si>
  <si>
    <t xml:space="preserve">Compartilha se concorda</t>
  </si>
  <si>
    <t xml:space="preserve">sticker coracao</t>
  </si>
  <si>
    <t xml:space="preserve">Voce e designer e redator de Stories do Instagram, criando uma sequencia sobre A IMPORTANCIA DE TER UM SITE para donos de pequenos negocios e empreendedores. Crie uma SEQUENCIA DE STORIES na proporcao vertical 9:16 sobre "Frase: presenca = crescimento". Estruture as telas assim: Tela 1: frase | Tela 2: reflexao. Para cada tela, descreva a arte (fundo, paleta sobria e profissional, tipografia grande e legivel) e o texto exato que aparece. Use POUCO texto por tela. Inclua o recurso interativo: Sticker de compartilhar. Pilar: Inspiracao. Finalize a ultima tela com o CTA: "Compartilha se concorda". Sugira tambem stickers/elementos: sticker coracao.</t>
  </si>
  <si>
    <t xml:space="preserve">Site captura leads</t>
  </si>
  <si>
    <t xml:space="preserve">Tela 1: 'transforme visitas em contatos' | Tela 2: como capturar</t>
  </si>
  <si>
    <t xml:space="preserve">Manda sua duvida sobre leads</t>
  </si>
  <si>
    <t xml:space="preserve">Voce e designer e redator de Stories do Instagram, criando uma sequencia sobre A IMPORTANCIA DE TER UM SITE para donos de pequenos negocios e empreendedores. Crie uma SEQUENCIA DE STORIES na proporcao vertical 9:16 sobre "Site captura leads". Estruture as telas assim: Tela 1: 'transforme visitas em contatos' | Tela 2: como capturar. Para cada tela, descreva a arte (fundo, paleta sobria e profissional, tipografia grande e legivel) e o texto exato que aparece. Use POUCO texto por tela. Inclua o recurso interativo: Caixa de pergunta. Pilar: Educativo. Finalize a ultima tela com o CTA: "Manda sua duvida sobre leads". Sugira tambem stickers/elementos: sticker de pergunta.</t>
  </si>
  <si>
    <t xml:space="preserve">Custo de nao ter site</t>
  </si>
  <si>
    <t xml:space="preserve">Tela 1: 'o cliente que voce perde todo dia' | Tela 2: oportunidades perdidas</t>
  </si>
  <si>
    <t xml:space="preserve">Enquete: Ja perdeu cliente assim? Sim/Nao</t>
  </si>
  <si>
    <t xml:space="preserve">Voce e designer e redator de Stories do Instagram, criando uma sequencia sobre A IMPORTANCIA DE TER UM SITE para donos de pequenos negocios e empreendedores. Crie uma SEQUENCIA DE STORIES na proporcao vertical 9:16 sobre "Custo de nao ter site". Estruture as telas assim: Tela 1: 'o cliente que voce perde todo dia' | Tela 2: oportunidades perdidas. Para cada tela, descreva a arte (fundo, paleta sobria e profissional, tipografia grande e legivel) e o texto exato que aparece. Use POUCO texto por tela. Inclua o recurso interativo: Enquete: Ja perdeu cliente assim? Sim/Nao. Pilar: Educativo. Finalize a ultima tela com o CTA: "Vota". Sugira tambem stickers/elementos: sticker de enquete.</t>
  </si>
  <si>
    <t xml:space="preserve">O que te impede de ter site?</t>
  </si>
  <si>
    <t xml:space="preserve">Tela 1: pergunta | Tela 2: vou responder no proximo</t>
  </si>
  <si>
    <t xml:space="preserve">Manda sua objecao</t>
  </si>
  <si>
    <t xml:space="preserve">Voce e designer e redator de Stories do Instagram, criando uma sequencia sobre A IMPORTANCIA DE TER UM SITE para donos de pequenos negocios e empreendedores. Crie uma SEQUENCIA DE STORIES na proporcao vertical 9:16 sobre "O que te impede de ter site?". Estruture as telas assim: Tela 1: pergunta | Tela 2: vou responder no proximo. Para cada tela, descreva a arte (fundo, paleta sobria e profissional, tipografia grande e legivel) e o texto exato que aparece. Use POUCO texto por tela. Inclua o recurso interativo: Caixa de pergunta. Pilar: Engajamento. Finalize a ultima tela com o CTA: "Manda sua objecao". Sugira tambem stickers/elementos: sticker de pergunta.</t>
  </si>
  <si>
    <t xml:space="preserve">Site x marketplace</t>
  </si>
  <si>
    <t xml:space="preserve">Tela 1: 'no marketplace voce compete por preco' | Tela 2: canal proprio</t>
  </si>
  <si>
    <t xml:space="preserve">Desliza sua opiniao</t>
  </si>
  <si>
    <t xml:space="preserve">Voce e designer e redator de Stories do Instagram, criando uma sequencia sobre A IMPORTANCIA DE TER UM SITE para donos de pequenos negocios e empreendedores. Crie uma SEQUENCIA DE STORIES na proporcao vertical 9:16 sobre "Site x marketplace". Estruture as telas assim: Tela 1: 'no marketplace voce compete por preco' | Tela 2: canal proprio. Para cada tela, descreva a arte (fundo, paleta sobria e profissional, tipografia grande e legivel) e o texto exato que aparece. Use POUCO texto por tela. Inclua o recurso interativo: Controle deslizante. Pilar: Educativo. Finalize a ultima tela com o CTA: "Desliza sua opiniao". Sugira tambem stickers/elementos: sticker slider.</t>
  </si>
  <si>
    <t xml:space="preserve">Dados do site</t>
  </si>
  <si>
    <t xml:space="preserve">Tela 1: 'seu site mostra o que o cliente quer' | Tela 2: metricas ajudam</t>
  </si>
  <si>
    <t xml:space="preserve">Quiz sobre dados</t>
  </si>
  <si>
    <t xml:space="preserve">Voce e designer e redator de Stories do Instagram, criando uma sequencia sobre A IMPORTANCIA DE TER UM SITE para donos de pequenos negocios e empreendedores. Crie uma SEQUENCIA DE STORIES na proporcao vertical 9:16 sobre "Dados do site". Estruture as telas assim: Tela 1: 'seu site mostra o que o cliente quer' | Tela 2: metricas ajudam. Para cada tela, descreva a arte (fundo, paleta sobria e profissional, tipografia grande e legivel) e o texto exato que aparece. Use POUCO texto por tela. Inclua o recurso interativo: Quiz sobre dados. Pilar: Educativo. Finalize a ultima tela com o CTA: "Responde o quiz". Sugira tambem stickers/elementos: sticker de quiz.</t>
  </si>
  <si>
    <t xml:space="preserve">Oferta com prazo</t>
  </si>
  <si>
    <t xml:space="preserve">Tela 1: 'vagas da semana' | Tela 2: bonus | Tela 3: link</t>
  </si>
  <si>
    <t xml:space="preserve">Contagem regressiva + link</t>
  </si>
  <si>
    <t xml:space="preserve">Garanta no link</t>
  </si>
  <si>
    <t xml:space="preserve">sticker contagem regressiva</t>
  </si>
  <si>
    <t xml:space="preserve">Voce e designer e redator de Stories do Instagram, criando uma sequencia sobre A IMPORTANCIA DE TER UM SITE para donos de pequenos negocios e empreendedores. Crie uma SEQUENCIA DE STORIES na proporcao vertical 9:16 sobre "Oferta com prazo". Estruture as telas assim: Tela 1: 'vagas da semana' | Tela 2: bonus | Tela 3: link. Para cada tela, descreva a arte (fundo, paleta sobria e profissional, tipografia grande e legivel) e o texto exato que aparece. Use POUCO texto por tela. Inclua o recurso interativo: Contagem regressiva + link. Pilar: Vendas. Finalize a ultima tela com o CTA: "Garanta no link". Sugira tambem stickers/elementos: sticker contagem regressiva.</t>
  </si>
  <si>
    <t xml:space="preserve">Checklist de bom site</t>
  </si>
  <si>
    <t xml:space="preserve">Tela 1: '5 itens essenciais' | Telas 2-3: itens</t>
  </si>
  <si>
    <t xml:space="preserve">Salva esse checklist</t>
  </si>
  <si>
    <t xml:space="preserve">sticker GIF check</t>
  </si>
  <si>
    <t xml:space="preserve">Voce e designer e redator de Stories do Instagram, criando uma sequencia sobre A IMPORTANCIA DE TER UM SITE para donos de pequenos negocios e empreendedores. Crie uma SEQUENCIA DE STORIES na proporcao vertical 9:16 sobre "Checklist de bom site". Estruture as telas assim: Tela 1: '5 itens essenciais' | Telas 2-3: itens. Para cada tela, descreva a arte (fundo, paleta sobria e profissional, tipografia grande e legivel) e o texto exato que aparece. Use POUCO texto por tela. Inclua o recurso interativo: Sticker 'salva'. Pilar: Educativo. Finalize a ultima tela com o CTA: "Salva esse checklist". Sugira tambem stickers/elementos: sticker GIF check.</t>
  </si>
  <si>
    <t xml:space="preserve">Site + WhatsApp</t>
  </si>
  <si>
    <t xml:space="preserve">Tela 1: 'do site direto pro WhatsApp' | Tela 2: como integrar</t>
  </si>
  <si>
    <t xml:space="preserve">Link/sticker de WhatsApp</t>
  </si>
  <si>
    <t xml:space="preserve">Toca e chama no WhatsApp</t>
  </si>
  <si>
    <t xml:space="preserve">Voce e designer e redator de Stories do Instagram, criando uma sequencia sobre A IMPORTANCIA DE TER UM SITE para donos de pequenos negocios e empreendedores. Crie uma SEQUENCIA DE STORIES na proporcao vertical 9:16 sobre "Site + WhatsApp". Estruture as telas assim: Tela 1: 'do site direto pro WhatsApp' | Tela 2: como integrar. Para cada tela, descreva a arte (fundo, paleta sobria e profissional, tipografia grande e legivel) e o texto exato que aparece. Use POUCO texto por tela. Inclua o recurso interativo: Link/sticker de WhatsApp. Pilar: Educativo. Finalize a ultima tela com o CTA: "Toca e chama no WhatsApp". Sugira tambem stickers/elementos: sticker de link.</t>
  </si>
  <si>
    <t xml:space="preserve">Recap e chamada final</t>
  </si>
  <si>
    <t xml:space="preserve">Tela 1: 'seu negocio merece um endereco na internet' | Tela 2: convite</t>
  </si>
  <si>
    <t xml:space="preserve">Caixa de pergunta: bora criar seu site?</t>
  </si>
  <si>
    <t xml:space="preserve">Manda 'EU QUERO'</t>
  </si>
  <si>
    <t xml:space="preserve">Voce e designer e redator de Stories do Instagram, criando uma sequencia sobre A IMPORTANCIA DE TER UM SITE para donos de pequenos negocios e empreendedores. Crie uma SEQUENCIA DE STORIES na proporcao vertical 9:16 sobre "Recap e chamada final". Estruture as telas assim: Tela 1: 'seu negocio merece um endereco na internet' | Tela 2: convite. Para cada tela, descreva a arte (fundo, paleta sobria e profissional, tipografia grande e legivel) e o texto exato que aparece. Use POUCO texto por tela. Inclua o recurso interativo: Caixa de pergunta: bora criar seu site?. Pilar: Inspiracao. Finalize a ultima tela com o CTA: "Manda 'EU QUERO'". Sugira tambem stickers/elementos: sticker de pergunta.</t>
  </si>
  <si>
    <t xml:space="preserve">RESUMO E INSTRUCOES</t>
  </si>
  <si>
    <t xml:space="preserve">Distribuicao por pilar</t>
  </si>
  <si>
    <t xml:space="preserve">Pilar</t>
  </si>
  <si>
    <t xml:space="preserve">Qtd</t>
  </si>
  <si>
    <t xml:space="preserve">Cor</t>
  </si>
  <si>
    <t xml:space="preserve">Total</t>
  </si>
  <si>
    <t xml:space="preserve">Progresso</t>
  </si>
  <si>
    <t xml:space="preserve">Stories feitos</t>
  </si>
  <si>
    <t xml:space="preserve">Total de dias</t>
  </si>
  <si>
    <t xml:space="preserve">% concluido</t>
  </si>
  <si>
    <t xml:space="preserve">Como usar:</t>
  </si>
  <si>
    <t xml:space="preserve">1) Tema central: A importancia de ter um site - formato Stories (vertical 9:16).</t>
  </si>
  <si>
    <t xml:space="preserve">2) Cada dia tem uma sequencia de 2 a 3 telas. A coluna Sequencia de telas resume o que vai em cada uma.</t>
  </si>
  <si>
    <t xml:space="preserve">3) Recurso interativo: use enquete, quiz, caixa de pergunta, slider ou contagem regressiva para gerar respostas.</t>
  </si>
  <si>
    <t xml:space="preserve">4) Coluna Prompt (IA): copie e cole no ChatGPT/Claude/Gemini (ou gerador de imagem) para criar as telas e textos.</t>
  </si>
  <si>
    <t xml:space="preserve">5) Marque Postado? como Sim quando publicar - a linha fica verde automaticamente.</t>
  </si>
  <si>
    <t xml:space="preserve">6) No Google Sheets troque Sim/Nao por caixinha real: selecione a coluna M e va em Inserir &gt; Caixa de selecao.</t>
  </si>
  <si>
    <t xml:space="preserve">7) Para importar: Google Sheets &gt; Arquivo &gt; Importar &gt; Enviar este arquivo .xlsx.</t>
  </si>
  <si>
    <t xml:space="preserve">Plano: 1 sequencia de stories por dia (30 dias). Maioria educativo, mais engajamento, vendas e inspiracao.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</si>
</sst>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5B2C8D"/>
        <bgColor rgb="FF660066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B2C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26"/>
    <col collapsed="false" customWidth="true" hidden="false" outlineLevel="0" max="8" min="8" style="0" width="44"/>
    <col collapsed="false" customWidth="true" hidden="false" outlineLevel="0" max="9" min="9" style="0" width="28"/>
    <col collapsed="false" customWidth="true" hidden="false" outlineLevel="0" max="11" min="10" style="0" width="22"/>
    <col collapsed="false" customWidth="true" hidden="false" outlineLevel="0" max="12" min="12" style="0" width="66"/>
    <col collapsed="false" customWidth="true" hidden="false" outlineLevel="0" max="13" min="13" style="0" width="10"/>
    <col collapsed="false" customWidth="true" hidden="false" outlineLevel="0" max="14" min="14" style="0" width="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78" hidden="false" customHeight="true" outlineLevel="0" collapsed="false">
      <c r="A3" s="3" t="n">
        <v>1</v>
      </c>
      <c r="B3" s="4" t="n">
        <v>46196</v>
      </c>
      <c r="C3" s="3" t="s">
        <v>15</v>
      </c>
      <c r="D3" s="3" t="s">
        <v>16</v>
      </c>
      <c r="E3" s="5" t="s">
        <v>17</v>
      </c>
      <c r="F3" s="3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3" t="s">
        <v>25</v>
      </c>
      <c r="N3" s="6"/>
    </row>
    <row r="4" customFormat="false" ht="78" hidden="false" customHeight="true" outlineLevel="0" collapsed="false">
      <c r="A4" s="3" t="n">
        <v>2</v>
      </c>
      <c r="B4" s="4" t="n">
        <v>46197</v>
      </c>
      <c r="C4" s="3" t="s">
        <v>26</v>
      </c>
      <c r="D4" s="3" t="s">
        <v>16</v>
      </c>
      <c r="E4" s="5" t="s">
        <v>17</v>
      </c>
      <c r="F4" s="3" t="s">
        <v>18</v>
      </c>
      <c r="G4" s="6" t="s">
        <v>27</v>
      </c>
      <c r="H4" s="6" t="s">
        <v>28</v>
      </c>
      <c r="I4" s="6" t="s">
        <v>29</v>
      </c>
      <c r="J4" s="6" t="s">
        <v>30</v>
      </c>
      <c r="K4" s="6" t="s">
        <v>31</v>
      </c>
      <c r="L4" s="6" t="s">
        <v>32</v>
      </c>
      <c r="M4" s="3" t="s">
        <v>25</v>
      </c>
      <c r="N4" s="6"/>
    </row>
    <row r="5" customFormat="false" ht="78" hidden="false" customHeight="true" outlineLevel="0" collapsed="false">
      <c r="A5" s="3" t="n">
        <v>3</v>
      </c>
      <c r="B5" s="4" t="n">
        <v>46198</v>
      </c>
      <c r="C5" s="3" t="s">
        <v>33</v>
      </c>
      <c r="D5" s="3" t="s">
        <v>16</v>
      </c>
      <c r="E5" s="7" t="s">
        <v>34</v>
      </c>
      <c r="F5" s="3" t="s">
        <v>18</v>
      </c>
      <c r="G5" s="6" t="s">
        <v>35</v>
      </c>
      <c r="H5" s="6" t="s">
        <v>36</v>
      </c>
      <c r="I5" s="6" t="s">
        <v>37</v>
      </c>
      <c r="J5" s="6" t="s">
        <v>38</v>
      </c>
      <c r="K5" s="6" t="s">
        <v>39</v>
      </c>
      <c r="L5" s="6" t="s">
        <v>40</v>
      </c>
      <c r="M5" s="3" t="s">
        <v>25</v>
      </c>
      <c r="N5" s="6"/>
    </row>
    <row r="6" customFormat="false" ht="78" hidden="false" customHeight="true" outlineLevel="0" collapsed="false">
      <c r="A6" s="3" t="n">
        <v>4</v>
      </c>
      <c r="B6" s="4" t="n">
        <v>46199</v>
      </c>
      <c r="C6" s="3" t="s">
        <v>41</v>
      </c>
      <c r="D6" s="3" t="s">
        <v>16</v>
      </c>
      <c r="E6" s="5" t="s">
        <v>17</v>
      </c>
      <c r="F6" s="3" t="s">
        <v>18</v>
      </c>
      <c r="G6" s="6" t="s">
        <v>42</v>
      </c>
      <c r="H6" s="6" t="s">
        <v>43</v>
      </c>
      <c r="I6" s="6" t="s">
        <v>44</v>
      </c>
      <c r="J6" s="6" t="s">
        <v>45</v>
      </c>
      <c r="K6" s="6" t="s">
        <v>46</v>
      </c>
      <c r="L6" s="6" t="s">
        <v>47</v>
      </c>
      <c r="M6" s="3" t="s">
        <v>25</v>
      </c>
      <c r="N6" s="6"/>
    </row>
    <row r="7" customFormat="false" ht="78" hidden="false" customHeight="true" outlineLevel="0" collapsed="false">
      <c r="A7" s="3" t="n">
        <v>5</v>
      </c>
      <c r="B7" s="4" t="n">
        <v>46200</v>
      </c>
      <c r="C7" s="3" t="s">
        <v>48</v>
      </c>
      <c r="D7" s="3" t="s">
        <v>16</v>
      </c>
      <c r="E7" s="5" t="s">
        <v>17</v>
      </c>
      <c r="F7" s="3" t="s">
        <v>18</v>
      </c>
      <c r="G7" s="6" t="s">
        <v>49</v>
      </c>
      <c r="H7" s="6" t="s">
        <v>50</v>
      </c>
      <c r="I7" s="6" t="s">
        <v>51</v>
      </c>
      <c r="J7" s="6" t="s">
        <v>52</v>
      </c>
      <c r="K7" s="6" t="s">
        <v>53</v>
      </c>
      <c r="L7" s="6" t="s">
        <v>54</v>
      </c>
      <c r="M7" s="3" t="s">
        <v>25</v>
      </c>
      <c r="N7" s="6"/>
    </row>
    <row r="8" customFormat="false" ht="78" hidden="false" customHeight="true" outlineLevel="0" collapsed="false">
      <c r="A8" s="3" t="n">
        <v>6</v>
      </c>
      <c r="B8" s="4" t="n">
        <v>46201</v>
      </c>
      <c r="C8" s="3" t="s">
        <v>55</v>
      </c>
      <c r="D8" s="3" t="s">
        <v>16</v>
      </c>
      <c r="E8" s="8" t="s">
        <v>56</v>
      </c>
      <c r="F8" s="3" t="s">
        <v>18</v>
      </c>
      <c r="G8" s="6" t="s">
        <v>57</v>
      </c>
      <c r="H8" s="6" t="s">
        <v>58</v>
      </c>
      <c r="I8" s="6" t="s">
        <v>59</v>
      </c>
      <c r="J8" s="6" t="s">
        <v>60</v>
      </c>
      <c r="K8" s="6" t="s">
        <v>61</v>
      </c>
      <c r="L8" s="6" t="s">
        <v>62</v>
      </c>
      <c r="M8" s="3" t="s">
        <v>25</v>
      </c>
      <c r="N8" s="6"/>
    </row>
    <row r="9" customFormat="false" ht="78" hidden="false" customHeight="true" outlineLevel="0" collapsed="false">
      <c r="A9" s="3" t="n">
        <v>7</v>
      </c>
      <c r="B9" s="4" t="n">
        <v>46202</v>
      </c>
      <c r="C9" s="3" t="s">
        <v>63</v>
      </c>
      <c r="D9" s="3" t="s">
        <v>16</v>
      </c>
      <c r="E9" s="9" t="s">
        <v>64</v>
      </c>
      <c r="F9" s="3" t="s">
        <v>18</v>
      </c>
      <c r="G9" s="6" t="s">
        <v>65</v>
      </c>
      <c r="H9" s="6" t="s">
        <v>66</v>
      </c>
      <c r="I9" s="6" t="s">
        <v>67</v>
      </c>
      <c r="J9" s="6" t="s">
        <v>68</v>
      </c>
      <c r="K9" s="6" t="s">
        <v>69</v>
      </c>
      <c r="L9" s="6" t="s">
        <v>70</v>
      </c>
      <c r="M9" s="3" t="s">
        <v>25</v>
      </c>
      <c r="N9" s="6"/>
    </row>
    <row r="10" customFormat="false" ht="78" hidden="false" customHeight="true" outlineLevel="0" collapsed="false">
      <c r="A10" s="3" t="n">
        <v>8</v>
      </c>
      <c r="B10" s="4" t="n">
        <v>46203</v>
      </c>
      <c r="C10" s="3" t="s">
        <v>15</v>
      </c>
      <c r="D10" s="3" t="s">
        <v>16</v>
      </c>
      <c r="E10" s="5" t="s">
        <v>17</v>
      </c>
      <c r="F10" s="3" t="s">
        <v>18</v>
      </c>
      <c r="G10" s="6" t="s">
        <v>71</v>
      </c>
      <c r="H10" s="6" t="s">
        <v>72</v>
      </c>
      <c r="I10" s="6" t="s">
        <v>73</v>
      </c>
      <c r="J10" s="6" t="s">
        <v>74</v>
      </c>
      <c r="K10" s="6" t="s">
        <v>39</v>
      </c>
      <c r="L10" s="6" t="s">
        <v>75</v>
      </c>
      <c r="M10" s="3" t="s">
        <v>25</v>
      </c>
      <c r="N10" s="6"/>
    </row>
    <row r="11" customFormat="false" ht="78" hidden="false" customHeight="true" outlineLevel="0" collapsed="false">
      <c r="A11" s="3" t="n">
        <v>9</v>
      </c>
      <c r="B11" s="4" t="n">
        <v>46204</v>
      </c>
      <c r="C11" s="3" t="s">
        <v>26</v>
      </c>
      <c r="D11" s="3" t="s">
        <v>16</v>
      </c>
      <c r="E11" s="5" t="s">
        <v>17</v>
      </c>
      <c r="F11" s="3" t="s">
        <v>18</v>
      </c>
      <c r="G11" s="6" t="s">
        <v>76</v>
      </c>
      <c r="H11" s="6" t="s">
        <v>77</v>
      </c>
      <c r="I11" s="6" t="s">
        <v>78</v>
      </c>
      <c r="J11" s="6" t="s">
        <v>30</v>
      </c>
      <c r="K11" s="6" t="s">
        <v>79</v>
      </c>
      <c r="L11" s="6" t="s">
        <v>80</v>
      </c>
      <c r="M11" s="3" t="s">
        <v>25</v>
      </c>
      <c r="N11" s="6"/>
    </row>
    <row r="12" customFormat="false" ht="78" hidden="false" customHeight="true" outlineLevel="0" collapsed="false">
      <c r="A12" s="3" t="n">
        <v>10</v>
      </c>
      <c r="B12" s="4" t="n">
        <v>46205</v>
      </c>
      <c r="C12" s="3" t="s">
        <v>33</v>
      </c>
      <c r="D12" s="3" t="s">
        <v>16</v>
      </c>
      <c r="E12" s="7" t="s">
        <v>34</v>
      </c>
      <c r="F12" s="3" t="s">
        <v>18</v>
      </c>
      <c r="G12" s="6" t="s">
        <v>81</v>
      </c>
      <c r="H12" s="6" t="s">
        <v>82</v>
      </c>
      <c r="I12" s="6" t="s">
        <v>83</v>
      </c>
      <c r="J12" s="6" t="s">
        <v>84</v>
      </c>
      <c r="K12" s="6" t="s">
        <v>46</v>
      </c>
      <c r="L12" s="6" t="s">
        <v>85</v>
      </c>
      <c r="M12" s="3" t="s">
        <v>25</v>
      </c>
      <c r="N12" s="6"/>
    </row>
    <row r="13" customFormat="false" ht="78" hidden="false" customHeight="true" outlineLevel="0" collapsed="false">
      <c r="A13" s="3" t="n">
        <v>11</v>
      </c>
      <c r="B13" s="4" t="n">
        <v>46206</v>
      </c>
      <c r="C13" s="3" t="s">
        <v>41</v>
      </c>
      <c r="D13" s="3" t="s">
        <v>16</v>
      </c>
      <c r="E13" s="5" t="s">
        <v>17</v>
      </c>
      <c r="F13" s="3" t="s">
        <v>18</v>
      </c>
      <c r="G13" s="6" t="s">
        <v>86</v>
      </c>
      <c r="H13" s="6" t="s">
        <v>87</v>
      </c>
      <c r="I13" s="6" t="s">
        <v>88</v>
      </c>
      <c r="J13" s="6" t="s">
        <v>89</v>
      </c>
      <c r="K13" s="6" t="s">
        <v>90</v>
      </c>
      <c r="L13" s="6" t="s">
        <v>91</v>
      </c>
      <c r="M13" s="3" t="s">
        <v>25</v>
      </c>
      <c r="N13" s="6"/>
    </row>
    <row r="14" customFormat="false" ht="78" hidden="false" customHeight="true" outlineLevel="0" collapsed="false">
      <c r="A14" s="3" t="n">
        <v>12</v>
      </c>
      <c r="B14" s="4" t="n">
        <v>46207</v>
      </c>
      <c r="C14" s="3" t="s">
        <v>48</v>
      </c>
      <c r="D14" s="3" t="s">
        <v>16</v>
      </c>
      <c r="E14" s="5" t="s">
        <v>17</v>
      </c>
      <c r="F14" s="3" t="s">
        <v>18</v>
      </c>
      <c r="G14" s="6" t="s">
        <v>92</v>
      </c>
      <c r="H14" s="6" t="s">
        <v>93</v>
      </c>
      <c r="I14" s="6" t="s">
        <v>94</v>
      </c>
      <c r="J14" s="6" t="s">
        <v>38</v>
      </c>
      <c r="K14" s="6" t="s">
        <v>39</v>
      </c>
      <c r="L14" s="6" t="s">
        <v>95</v>
      </c>
      <c r="M14" s="3" t="s">
        <v>25</v>
      </c>
      <c r="N14" s="6"/>
    </row>
    <row r="15" customFormat="false" ht="78" hidden="false" customHeight="true" outlineLevel="0" collapsed="false">
      <c r="A15" s="3" t="n">
        <v>13</v>
      </c>
      <c r="B15" s="4" t="n">
        <v>46208</v>
      </c>
      <c r="C15" s="3" t="s">
        <v>55</v>
      </c>
      <c r="D15" s="3" t="s">
        <v>16</v>
      </c>
      <c r="E15" s="8" t="s">
        <v>56</v>
      </c>
      <c r="F15" s="3" t="s">
        <v>18</v>
      </c>
      <c r="G15" s="6" t="s">
        <v>96</v>
      </c>
      <c r="H15" s="6" t="s">
        <v>97</v>
      </c>
      <c r="I15" s="6" t="s">
        <v>98</v>
      </c>
      <c r="J15" s="6" t="s">
        <v>99</v>
      </c>
      <c r="K15" s="6" t="s">
        <v>100</v>
      </c>
      <c r="L15" s="6" t="s">
        <v>101</v>
      </c>
      <c r="M15" s="3" t="s">
        <v>25</v>
      </c>
      <c r="N15" s="6"/>
    </row>
    <row r="16" customFormat="false" ht="78" hidden="false" customHeight="true" outlineLevel="0" collapsed="false">
      <c r="A16" s="3" t="n">
        <v>14</v>
      </c>
      <c r="B16" s="4" t="n">
        <v>46209</v>
      </c>
      <c r="C16" s="3" t="s">
        <v>63</v>
      </c>
      <c r="D16" s="3" t="s">
        <v>16</v>
      </c>
      <c r="E16" s="5" t="s">
        <v>17</v>
      </c>
      <c r="F16" s="3" t="s">
        <v>18</v>
      </c>
      <c r="G16" s="6" t="s">
        <v>102</v>
      </c>
      <c r="H16" s="6" t="s">
        <v>103</v>
      </c>
      <c r="I16" s="6" t="s">
        <v>104</v>
      </c>
      <c r="J16" s="6" t="s">
        <v>105</v>
      </c>
      <c r="K16" s="6" t="s">
        <v>53</v>
      </c>
      <c r="L16" s="6" t="s">
        <v>106</v>
      </c>
      <c r="M16" s="3" t="s">
        <v>25</v>
      </c>
      <c r="N16" s="6"/>
    </row>
    <row r="17" customFormat="false" ht="78" hidden="false" customHeight="true" outlineLevel="0" collapsed="false">
      <c r="A17" s="3" t="n">
        <v>15</v>
      </c>
      <c r="B17" s="4" t="n">
        <v>46210</v>
      </c>
      <c r="C17" s="3" t="s">
        <v>15</v>
      </c>
      <c r="D17" s="3" t="s">
        <v>16</v>
      </c>
      <c r="E17" s="5" t="s">
        <v>17</v>
      </c>
      <c r="F17" s="3" t="s">
        <v>18</v>
      </c>
      <c r="G17" s="6" t="s">
        <v>107</v>
      </c>
      <c r="H17" s="6" t="s">
        <v>108</v>
      </c>
      <c r="I17" s="6" t="s">
        <v>109</v>
      </c>
      <c r="J17" s="6" t="s">
        <v>110</v>
      </c>
      <c r="K17" s="6" t="s">
        <v>46</v>
      </c>
      <c r="L17" s="6" t="s">
        <v>111</v>
      </c>
      <c r="M17" s="3" t="s">
        <v>25</v>
      </c>
      <c r="N17" s="6"/>
    </row>
    <row r="18" customFormat="false" ht="78" hidden="false" customHeight="true" outlineLevel="0" collapsed="false">
      <c r="A18" s="3" t="n">
        <v>16</v>
      </c>
      <c r="B18" s="4" t="n">
        <v>46211</v>
      </c>
      <c r="C18" s="3" t="s">
        <v>26</v>
      </c>
      <c r="D18" s="3" t="s">
        <v>16</v>
      </c>
      <c r="E18" s="7" t="s">
        <v>34</v>
      </c>
      <c r="F18" s="3" t="s">
        <v>18</v>
      </c>
      <c r="G18" s="6" t="s">
        <v>112</v>
      </c>
      <c r="H18" s="6" t="s">
        <v>113</v>
      </c>
      <c r="I18" s="6" t="s">
        <v>114</v>
      </c>
      <c r="J18" s="6" t="s">
        <v>74</v>
      </c>
      <c r="K18" s="6" t="s">
        <v>39</v>
      </c>
      <c r="L18" s="6" t="s">
        <v>115</v>
      </c>
      <c r="M18" s="3" t="s">
        <v>25</v>
      </c>
      <c r="N18" s="6"/>
    </row>
    <row r="19" customFormat="false" ht="78" hidden="false" customHeight="true" outlineLevel="0" collapsed="false">
      <c r="A19" s="3" t="n">
        <v>17</v>
      </c>
      <c r="B19" s="4" t="n">
        <v>46212</v>
      </c>
      <c r="C19" s="3" t="s">
        <v>33</v>
      </c>
      <c r="D19" s="3" t="s">
        <v>16</v>
      </c>
      <c r="E19" s="5" t="s">
        <v>17</v>
      </c>
      <c r="F19" s="3" t="s">
        <v>18</v>
      </c>
      <c r="G19" s="6" t="s">
        <v>116</v>
      </c>
      <c r="H19" s="6" t="s">
        <v>117</v>
      </c>
      <c r="I19" s="6" t="s">
        <v>118</v>
      </c>
      <c r="J19" s="6" t="s">
        <v>119</v>
      </c>
      <c r="K19" s="6" t="s">
        <v>120</v>
      </c>
      <c r="L19" s="6" t="s">
        <v>121</v>
      </c>
      <c r="M19" s="3" t="s">
        <v>25</v>
      </c>
      <c r="N19" s="6"/>
    </row>
    <row r="20" customFormat="false" ht="78" hidden="false" customHeight="true" outlineLevel="0" collapsed="false">
      <c r="A20" s="3" t="n">
        <v>18</v>
      </c>
      <c r="B20" s="4" t="n">
        <v>46213</v>
      </c>
      <c r="C20" s="3" t="s">
        <v>41</v>
      </c>
      <c r="D20" s="3" t="s">
        <v>16</v>
      </c>
      <c r="E20" s="9" t="s">
        <v>64</v>
      </c>
      <c r="F20" s="3" t="s">
        <v>18</v>
      </c>
      <c r="G20" s="6" t="s">
        <v>122</v>
      </c>
      <c r="H20" s="6" t="s">
        <v>123</v>
      </c>
      <c r="I20" s="6" t="s">
        <v>67</v>
      </c>
      <c r="J20" s="6" t="s">
        <v>124</v>
      </c>
      <c r="K20" s="6" t="s">
        <v>69</v>
      </c>
      <c r="L20" s="6" t="s">
        <v>125</v>
      </c>
      <c r="M20" s="3" t="s">
        <v>25</v>
      </c>
      <c r="N20" s="6"/>
    </row>
    <row r="21" customFormat="false" ht="78" hidden="false" customHeight="true" outlineLevel="0" collapsed="false">
      <c r="A21" s="3" t="n">
        <v>19</v>
      </c>
      <c r="B21" s="4" t="n">
        <v>46214</v>
      </c>
      <c r="C21" s="3" t="s">
        <v>48</v>
      </c>
      <c r="D21" s="3" t="s">
        <v>16</v>
      </c>
      <c r="E21" s="5" t="s">
        <v>17</v>
      </c>
      <c r="F21" s="3" t="s">
        <v>18</v>
      </c>
      <c r="G21" s="6" t="s">
        <v>126</v>
      </c>
      <c r="H21" s="6" t="s">
        <v>127</v>
      </c>
      <c r="I21" s="6" t="s">
        <v>128</v>
      </c>
      <c r="J21" s="6" t="s">
        <v>38</v>
      </c>
      <c r="K21" s="6" t="s">
        <v>39</v>
      </c>
      <c r="L21" s="6" t="s">
        <v>129</v>
      </c>
      <c r="M21" s="3" t="s">
        <v>25</v>
      </c>
      <c r="N21" s="6"/>
    </row>
    <row r="22" customFormat="false" ht="78" hidden="false" customHeight="true" outlineLevel="0" collapsed="false">
      <c r="A22" s="3" t="n">
        <v>20</v>
      </c>
      <c r="B22" s="4" t="n">
        <v>46215</v>
      </c>
      <c r="C22" s="3" t="s">
        <v>55</v>
      </c>
      <c r="D22" s="3" t="s">
        <v>16</v>
      </c>
      <c r="E22" s="5" t="s">
        <v>17</v>
      </c>
      <c r="F22" s="3" t="s">
        <v>18</v>
      </c>
      <c r="G22" s="6" t="s">
        <v>130</v>
      </c>
      <c r="H22" s="6" t="s">
        <v>131</v>
      </c>
      <c r="I22" s="6" t="s">
        <v>132</v>
      </c>
      <c r="J22" s="6" t="s">
        <v>133</v>
      </c>
      <c r="K22" s="6" t="s">
        <v>79</v>
      </c>
      <c r="L22" s="6" t="s">
        <v>134</v>
      </c>
      <c r="M22" s="3" t="s">
        <v>25</v>
      </c>
      <c r="N22" s="6"/>
    </row>
    <row r="23" customFormat="false" ht="78" hidden="false" customHeight="true" outlineLevel="0" collapsed="false">
      <c r="A23" s="3" t="n">
        <v>21</v>
      </c>
      <c r="B23" s="4" t="n">
        <v>46216</v>
      </c>
      <c r="C23" s="3" t="s">
        <v>63</v>
      </c>
      <c r="D23" s="3" t="s">
        <v>16</v>
      </c>
      <c r="E23" s="8" t="s">
        <v>56</v>
      </c>
      <c r="F23" s="3" t="s">
        <v>18</v>
      </c>
      <c r="G23" s="6" t="s">
        <v>135</v>
      </c>
      <c r="H23" s="6" t="s">
        <v>136</v>
      </c>
      <c r="I23" s="6" t="s">
        <v>98</v>
      </c>
      <c r="J23" s="6" t="s">
        <v>137</v>
      </c>
      <c r="K23" s="6" t="s">
        <v>138</v>
      </c>
      <c r="L23" s="6" t="s">
        <v>139</v>
      </c>
      <c r="M23" s="3" t="s">
        <v>25</v>
      </c>
      <c r="N23" s="6"/>
    </row>
    <row r="24" customFormat="false" ht="78" hidden="false" customHeight="true" outlineLevel="0" collapsed="false">
      <c r="A24" s="3" t="n">
        <v>22</v>
      </c>
      <c r="B24" s="4" t="n">
        <v>46217</v>
      </c>
      <c r="C24" s="3" t="s">
        <v>15</v>
      </c>
      <c r="D24" s="3" t="s">
        <v>16</v>
      </c>
      <c r="E24" s="5" t="s">
        <v>17</v>
      </c>
      <c r="F24" s="3" t="s">
        <v>18</v>
      </c>
      <c r="G24" s="6" t="s">
        <v>140</v>
      </c>
      <c r="H24" s="6" t="s">
        <v>141</v>
      </c>
      <c r="I24" s="6" t="s">
        <v>83</v>
      </c>
      <c r="J24" s="6" t="s">
        <v>142</v>
      </c>
      <c r="K24" s="6" t="s">
        <v>46</v>
      </c>
      <c r="L24" s="6" t="s">
        <v>143</v>
      </c>
      <c r="M24" s="3" t="s">
        <v>25</v>
      </c>
      <c r="N24" s="6"/>
    </row>
    <row r="25" customFormat="false" ht="78" hidden="false" customHeight="true" outlineLevel="0" collapsed="false">
      <c r="A25" s="3" t="n">
        <v>23</v>
      </c>
      <c r="B25" s="4" t="n">
        <v>46218</v>
      </c>
      <c r="C25" s="3" t="s">
        <v>26</v>
      </c>
      <c r="D25" s="3" t="s">
        <v>16</v>
      </c>
      <c r="E25" s="5" t="s">
        <v>17</v>
      </c>
      <c r="F25" s="3" t="s">
        <v>18</v>
      </c>
      <c r="G25" s="6" t="s">
        <v>144</v>
      </c>
      <c r="H25" s="6" t="s">
        <v>145</v>
      </c>
      <c r="I25" s="6" t="s">
        <v>146</v>
      </c>
      <c r="J25" s="6" t="s">
        <v>74</v>
      </c>
      <c r="K25" s="6" t="s">
        <v>39</v>
      </c>
      <c r="L25" s="6" t="s">
        <v>147</v>
      </c>
      <c r="M25" s="3" t="s">
        <v>25</v>
      </c>
      <c r="N25" s="6"/>
    </row>
    <row r="26" customFormat="false" ht="78" hidden="false" customHeight="true" outlineLevel="0" collapsed="false">
      <c r="A26" s="3" t="n">
        <v>24</v>
      </c>
      <c r="B26" s="4" t="n">
        <v>46219</v>
      </c>
      <c r="C26" s="3" t="s">
        <v>33</v>
      </c>
      <c r="D26" s="3" t="s">
        <v>16</v>
      </c>
      <c r="E26" s="7" t="s">
        <v>34</v>
      </c>
      <c r="F26" s="3" t="s">
        <v>18</v>
      </c>
      <c r="G26" s="6" t="s">
        <v>148</v>
      </c>
      <c r="H26" s="6" t="s">
        <v>149</v>
      </c>
      <c r="I26" s="6" t="s">
        <v>83</v>
      </c>
      <c r="J26" s="6" t="s">
        <v>150</v>
      </c>
      <c r="K26" s="6" t="s">
        <v>46</v>
      </c>
      <c r="L26" s="6" t="s">
        <v>151</v>
      </c>
      <c r="M26" s="3" t="s">
        <v>25</v>
      </c>
      <c r="N26" s="6"/>
    </row>
    <row r="27" customFormat="false" ht="78" hidden="false" customHeight="true" outlineLevel="0" collapsed="false">
      <c r="A27" s="3" t="n">
        <v>25</v>
      </c>
      <c r="B27" s="4" t="n">
        <v>46220</v>
      </c>
      <c r="C27" s="3" t="s">
        <v>41</v>
      </c>
      <c r="D27" s="3" t="s">
        <v>16</v>
      </c>
      <c r="E27" s="5" t="s">
        <v>17</v>
      </c>
      <c r="F27" s="3" t="s">
        <v>18</v>
      </c>
      <c r="G27" s="6" t="s">
        <v>152</v>
      </c>
      <c r="H27" s="6" t="s">
        <v>153</v>
      </c>
      <c r="I27" s="6" t="s">
        <v>104</v>
      </c>
      <c r="J27" s="6" t="s">
        <v>154</v>
      </c>
      <c r="K27" s="6" t="s">
        <v>53</v>
      </c>
      <c r="L27" s="6" t="s">
        <v>155</v>
      </c>
      <c r="M27" s="3" t="s">
        <v>25</v>
      </c>
      <c r="N27" s="6"/>
    </row>
    <row r="28" customFormat="false" ht="78" hidden="false" customHeight="true" outlineLevel="0" collapsed="false">
      <c r="A28" s="3" t="n">
        <v>26</v>
      </c>
      <c r="B28" s="4" t="n">
        <v>46221</v>
      </c>
      <c r="C28" s="3" t="s">
        <v>48</v>
      </c>
      <c r="D28" s="3" t="s">
        <v>16</v>
      </c>
      <c r="E28" s="5" t="s">
        <v>17</v>
      </c>
      <c r="F28" s="3" t="s">
        <v>18</v>
      </c>
      <c r="G28" s="6" t="s">
        <v>156</v>
      </c>
      <c r="H28" s="6" t="s">
        <v>157</v>
      </c>
      <c r="I28" s="6" t="s">
        <v>158</v>
      </c>
      <c r="J28" s="6" t="s">
        <v>30</v>
      </c>
      <c r="K28" s="6" t="s">
        <v>79</v>
      </c>
      <c r="L28" s="6" t="s">
        <v>159</v>
      </c>
      <c r="M28" s="3" t="s">
        <v>25</v>
      </c>
      <c r="N28" s="6"/>
    </row>
    <row r="29" customFormat="false" ht="78" hidden="false" customHeight="true" outlineLevel="0" collapsed="false">
      <c r="A29" s="3" t="n">
        <v>27</v>
      </c>
      <c r="B29" s="4" t="n">
        <v>46222</v>
      </c>
      <c r="C29" s="3" t="s">
        <v>55</v>
      </c>
      <c r="D29" s="3" t="s">
        <v>16</v>
      </c>
      <c r="E29" s="9" t="s">
        <v>64</v>
      </c>
      <c r="F29" s="3" t="s">
        <v>18</v>
      </c>
      <c r="G29" s="6" t="s">
        <v>160</v>
      </c>
      <c r="H29" s="6" t="s">
        <v>161</v>
      </c>
      <c r="I29" s="6" t="s">
        <v>162</v>
      </c>
      <c r="J29" s="6" t="s">
        <v>163</v>
      </c>
      <c r="K29" s="6" t="s">
        <v>164</v>
      </c>
      <c r="L29" s="6" t="s">
        <v>165</v>
      </c>
      <c r="M29" s="3" t="s">
        <v>25</v>
      </c>
      <c r="N29" s="6"/>
    </row>
    <row r="30" customFormat="false" ht="78" hidden="false" customHeight="true" outlineLevel="0" collapsed="false">
      <c r="A30" s="3" t="n">
        <v>28</v>
      </c>
      <c r="B30" s="4" t="n">
        <v>46223</v>
      </c>
      <c r="C30" s="3" t="s">
        <v>63</v>
      </c>
      <c r="D30" s="3" t="s">
        <v>16</v>
      </c>
      <c r="E30" s="5" t="s">
        <v>17</v>
      </c>
      <c r="F30" s="3" t="s">
        <v>18</v>
      </c>
      <c r="G30" s="6" t="s">
        <v>166</v>
      </c>
      <c r="H30" s="6" t="s">
        <v>167</v>
      </c>
      <c r="I30" s="6" t="s">
        <v>118</v>
      </c>
      <c r="J30" s="6" t="s">
        <v>168</v>
      </c>
      <c r="K30" s="6" t="s">
        <v>169</v>
      </c>
      <c r="L30" s="6" t="s">
        <v>170</v>
      </c>
      <c r="M30" s="3" t="s">
        <v>25</v>
      </c>
      <c r="N30" s="6"/>
    </row>
    <row r="31" customFormat="false" ht="78" hidden="false" customHeight="true" outlineLevel="0" collapsed="false">
      <c r="A31" s="3" t="n">
        <v>29</v>
      </c>
      <c r="B31" s="4" t="n">
        <v>46224</v>
      </c>
      <c r="C31" s="3" t="s">
        <v>15</v>
      </c>
      <c r="D31" s="3" t="s">
        <v>16</v>
      </c>
      <c r="E31" s="5" t="s">
        <v>17</v>
      </c>
      <c r="F31" s="3" t="s">
        <v>18</v>
      </c>
      <c r="G31" s="6" t="s">
        <v>171</v>
      </c>
      <c r="H31" s="6" t="s">
        <v>172</v>
      </c>
      <c r="I31" s="6" t="s">
        <v>173</v>
      </c>
      <c r="J31" s="6" t="s">
        <v>174</v>
      </c>
      <c r="K31" s="6" t="s">
        <v>69</v>
      </c>
      <c r="L31" s="6" t="s">
        <v>175</v>
      </c>
      <c r="M31" s="3" t="s">
        <v>25</v>
      </c>
      <c r="N31" s="6"/>
    </row>
    <row r="32" customFormat="false" ht="78" hidden="false" customHeight="true" outlineLevel="0" collapsed="false">
      <c r="A32" s="3" t="n">
        <v>30</v>
      </c>
      <c r="B32" s="4" t="n">
        <v>46225</v>
      </c>
      <c r="C32" s="3" t="s">
        <v>26</v>
      </c>
      <c r="D32" s="3" t="s">
        <v>16</v>
      </c>
      <c r="E32" s="8" t="s">
        <v>56</v>
      </c>
      <c r="F32" s="3" t="s">
        <v>18</v>
      </c>
      <c r="G32" s="6" t="s">
        <v>176</v>
      </c>
      <c r="H32" s="6" t="s">
        <v>177</v>
      </c>
      <c r="I32" s="6" t="s">
        <v>178</v>
      </c>
      <c r="J32" s="6" t="s">
        <v>179</v>
      </c>
      <c r="K32" s="6" t="s">
        <v>46</v>
      </c>
      <c r="L32" s="6" t="s">
        <v>180</v>
      </c>
      <c r="M32" s="3" t="s">
        <v>25</v>
      </c>
      <c r="N32" s="6"/>
    </row>
  </sheetData>
  <mergeCells count="1">
    <mergeCell ref="A1:N1"/>
  </mergeCells>
  <conditionalFormatting sqref="A3:N32">
    <cfRule type="expression" priority="2" aboveAverage="0" equalAverage="0" bottom="0" percent="0" rank="0" text="" dxfId="0">
      <formula>$M3="Sim"</formula>
    </cfRule>
  </conditionalFormatting>
  <dataValidations count="1">
    <dataValidation allowBlank="false" errorStyle="stop" operator="between" showDropDown="false" showErrorMessage="false" showInputMessage="false" sqref="M3:M32" type="list">
      <formula1>"Sim,Nao"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4"/>
    <col collapsed="false" customWidth="true" hidden="false" outlineLevel="0" max="3" min="3" style="0" width="8"/>
  </cols>
  <sheetData>
    <row r="1" customFormat="false" ht="30" hidden="false" customHeight="true" outlineLevel="0" collapsed="false">
      <c r="A1" s="10" t="s">
        <v>181</v>
      </c>
      <c r="B1" s="10"/>
      <c r="C1" s="10"/>
    </row>
    <row r="3" customFormat="false" ht="15" hidden="false" customHeight="false" outlineLevel="0" collapsed="false">
      <c r="A3" s="11" t="s">
        <v>182</v>
      </c>
    </row>
    <row r="4" customFormat="false" ht="15" hidden="false" customHeight="false" outlineLevel="0" collapsed="false">
      <c r="A4" s="12" t="s">
        <v>183</v>
      </c>
      <c r="B4" s="12" t="s">
        <v>184</v>
      </c>
      <c r="C4" s="12" t="s">
        <v>185</v>
      </c>
    </row>
    <row r="5" customFormat="false" ht="15" hidden="false" customHeight="false" outlineLevel="0" collapsed="false">
      <c r="A5" s="13" t="s">
        <v>17</v>
      </c>
      <c r="B5" s="13" t="n">
        <f aca="false">COUNTIF('Calendario 30 dias'!E:E,"Educativo")</f>
        <v>19</v>
      </c>
      <c r="C5" s="14"/>
    </row>
    <row r="6" customFormat="false" ht="15" hidden="false" customHeight="false" outlineLevel="0" collapsed="false">
      <c r="A6" s="13" t="s">
        <v>34</v>
      </c>
      <c r="B6" s="13" t="n">
        <f aca="false">COUNTIF('Calendario 30 dias'!E:E,"Engajamento")</f>
        <v>4</v>
      </c>
      <c r="C6" s="15"/>
    </row>
    <row r="7" customFormat="false" ht="15" hidden="false" customHeight="false" outlineLevel="0" collapsed="false">
      <c r="A7" s="13" t="s">
        <v>64</v>
      </c>
      <c r="B7" s="13" t="n">
        <f aca="false">COUNTIF('Calendario 30 dias'!E:E,"Vendas")</f>
        <v>3</v>
      </c>
      <c r="C7" s="16"/>
    </row>
    <row r="8" customFormat="false" ht="15" hidden="false" customHeight="false" outlineLevel="0" collapsed="false">
      <c r="A8" s="13" t="s">
        <v>56</v>
      </c>
      <c r="B8" s="13" t="n">
        <f aca="false">COUNTIF('Calendario 30 dias'!E:E,"Inspiracao")</f>
        <v>4</v>
      </c>
      <c r="C8" s="17"/>
    </row>
    <row r="9" customFormat="false" ht="15" hidden="false" customHeight="false" outlineLevel="0" collapsed="false">
      <c r="A9" s="11" t="s">
        <v>186</v>
      </c>
      <c r="B9" s="11" t="n">
        <f aca="false">SUM(B5:B8)</f>
        <v>30</v>
      </c>
    </row>
    <row r="12" customFormat="false" ht="15" hidden="false" customHeight="false" outlineLevel="0" collapsed="false">
      <c r="A12" s="11" t="s">
        <v>187</v>
      </c>
    </row>
    <row r="13" customFormat="false" ht="15" hidden="false" customHeight="false" outlineLevel="0" collapsed="false">
      <c r="A13" s="13" t="s">
        <v>188</v>
      </c>
      <c r="B13" s="11" t="n">
        <f aca="false">COUNTIF('Calendario 30 dias'!M:M,"Sim")</f>
        <v>0</v>
      </c>
    </row>
    <row r="14" customFormat="false" ht="15" hidden="false" customHeight="false" outlineLevel="0" collapsed="false">
      <c r="A14" s="13" t="s">
        <v>189</v>
      </c>
      <c r="B14" s="11" t="n">
        <f aca="false">COUNTA('Calendario 30 dias'!A3:A32)</f>
        <v>30</v>
      </c>
    </row>
    <row r="15" customFormat="false" ht="15" hidden="false" customHeight="false" outlineLevel="0" collapsed="false">
      <c r="A15" s="13" t="s">
        <v>190</v>
      </c>
      <c r="B15" s="18" t="n">
        <f aca="false">B13/B14</f>
        <v>0</v>
      </c>
    </row>
    <row r="17" customFormat="false" ht="15" hidden="false" customHeight="false" outlineLevel="0" collapsed="false">
      <c r="A17" s="19" t="s">
        <v>191</v>
      </c>
    </row>
    <row r="18" customFormat="false" ht="15" hidden="false" customHeight="false" outlineLevel="0" collapsed="false">
      <c r="A18" s="20" t="s">
        <v>192</v>
      </c>
    </row>
    <row r="19" customFormat="false" ht="15" hidden="false" customHeight="false" outlineLevel="0" collapsed="false">
      <c r="A19" s="20" t="s">
        <v>193</v>
      </c>
    </row>
    <row r="20" customFormat="false" ht="15" hidden="false" customHeight="false" outlineLevel="0" collapsed="false">
      <c r="A20" s="20" t="s">
        <v>194</v>
      </c>
    </row>
    <row r="21" customFormat="false" ht="15" hidden="false" customHeight="false" outlineLevel="0" collapsed="false">
      <c r="A21" s="20" t="s">
        <v>195</v>
      </c>
    </row>
    <row r="22" customFormat="false" ht="15" hidden="false" customHeight="false" outlineLevel="0" collapsed="false">
      <c r="A22" s="20" t="s">
        <v>196</v>
      </c>
    </row>
    <row r="23" customFormat="false" ht="15" hidden="false" customHeight="false" outlineLevel="0" collapsed="false">
      <c r="A23" s="20" t="s">
        <v>197</v>
      </c>
    </row>
    <row r="24" customFormat="false" ht="15" hidden="false" customHeight="false" outlineLevel="0" collapsed="false">
      <c r="A24" s="20" t="s">
        <v>198</v>
      </c>
    </row>
    <row r="26" customFormat="false" ht="15" hidden="false" customHeight="false" outlineLevel="0" collapsed="false">
      <c r="A26" s="19" t="s">
        <v>199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2026-06-25T14:49:42Z</dcterms:created>
  <dc:creator>openpyxl</dc:creator>
  <dc:description/>
  <dc:language>en-US</dc:language>
  <cp:lastModifiedBy/>
  <dcterms:modified xsi:type="dcterms:W3CDTF">2026-06-25T14:49:42Z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